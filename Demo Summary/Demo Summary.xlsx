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han/Documents/EDO/Demo Summary/"/>
    </mc:Choice>
  </mc:AlternateContent>
  <xr:revisionPtr revIDLastSave="0" documentId="13_ncr:1_{6B2A60EC-0B2B-2649-BBDF-F92D8BF64749}" xr6:coauthVersionLast="47" xr6:coauthVersionMax="47" xr10:uidLastSave="{00000000-0000-0000-0000-000000000000}"/>
  <bookViews>
    <workbookView xWindow="0" yWindow="0" windowWidth="28800" windowHeight="18000" xr2:uid="{AD55DF9C-9D51-3742-AAEA-6D83723C9F0F}"/>
  </bookViews>
  <sheets>
    <sheet name="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" i="1" l="1"/>
  <c r="R50" i="1"/>
  <c r="S50" i="1"/>
  <c r="T50" i="1"/>
  <c r="U50" i="1"/>
  <c r="V50" i="1"/>
  <c r="Q51" i="1"/>
  <c r="R51" i="1"/>
  <c r="S51" i="1"/>
  <c r="T51" i="1"/>
  <c r="U51" i="1"/>
  <c r="V51" i="1"/>
  <c r="Q52" i="1"/>
  <c r="R52" i="1"/>
  <c r="S52" i="1"/>
  <c r="T52" i="1"/>
  <c r="U52" i="1"/>
  <c r="V52" i="1"/>
  <c r="Q53" i="1"/>
  <c r="R53" i="1"/>
  <c r="S53" i="1"/>
  <c r="T53" i="1"/>
  <c r="U53" i="1"/>
  <c r="V53" i="1"/>
  <c r="Q54" i="1"/>
  <c r="R54" i="1"/>
  <c r="S54" i="1"/>
  <c r="T54" i="1"/>
  <c r="U54" i="1"/>
  <c r="V54" i="1"/>
  <c r="D50" i="1"/>
  <c r="AD37" i="1"/>
  <c r="AC37" i="1"/>
  <c r="G38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AP25" i="1"/>
  <c r="AH25" i="1"/>
  <c r="AG25" i="1"/>
  <c r="AF25" i="1"/>
  <c r="AE25" i="1"/>
  <c r="S25" i="1"/>
  <c r="T25" i="1"/>
  <c r="U25" i="1"/>
  <c r="V25" i="1"/>
  <c r="W25" i="1"/>
  <c r="X25" i="1"/>
  <c r="Y25" i="1"/>
  <c r="Z25" i="1"/>
  <c r="AA25" i="1"/>
  <c r="AB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C25" i="1"/>
  <c r="C24" i="1"/>
  <c r="D60" i="1"/>
  <c r="AC46" i="1"/>
  <c r="AD46" i="1"/>
  <c r="AI46" i="1"/>
  <c r="AJ46" i="1"/>
  <c r="AK46" i="1"/>
  <c r="AM46" i="1"/>
  <c r="AN46" i="1"/>
  <c r="AO46" i="1"/>
  <c r="D41" i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C11" i="1"/>
  <c r="D11" i="1" s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G16" i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D22" i="1"/>
  <c r="D23" i="1" s="1"/>
  <c r="E22" i="1"/>
  <c r="E23" i="1" s="1"/>
  <c r="F22" i="1"/>
  <c r="F23" i="1" s="1"/>
  <c r="G22" i="1"/>
  <c r="G23" i="1" s="1"/>
  <c r="H22" i="1"/>
  <c r="H23" i="1" s="1"/>
  <c r="I22" i="1"/>
  <c r="I23" i="1" s="1"/>
  <c r="J22" i="1"/>
  <c r="J23" i="1" s="1"/>
  <c r="K22" i="1"/>
  <c r="K24" i="1" s="1"/>
  <c r="L22" i="1"/>
  <c r="L24" i="1" s="1"/>
  <c r="M22" i="1"/>
  <c r="M23" i="1" s="1"/>
  <c r="N22" i="1"/>
  <c r="N23" i="1" s="1"/>
  <c r="O22" i="1"/>
  <c r="O23" i="1" s="1"/>
  <c r="P22" i="1"/>
  <c r="P23" i="1" s="1"/>
  <c r="Q22" i="1"/>
  <c r="Q23" i="1" s="1"/>
  <c r="R22" i="1"/>
  <c r="S22" i="1"/>
  <c r="T22" i="1"/>
  <c r="T24" i="1" s="1"/>
  <c r="U22" i="1"/>
  <c r="U24" i="1" s="1"/>
  <c r="V22" i="1"/>
  <c r="V23" i="1" s="1"/>
  <c r="W22" i="1"/>
  <c r="W23" i="1" s="1"/>
  <c r="X22" i="1"/>
  <c r="X23" i="1" s="1"/>
  <c r="Y22" i="1"/>
  <c r="Y23" i="1" s="1"/>
  <c r="Z22" i="1"/>
  <c r="AA22" i="1"/>
  <c r="AB22" i="1"/>
  <c r="AB24" i="1" s="1"/>
  <c r="AC22" i="1"/>
  <c r="AC23" i="1" s="1"/>
  <c r="AD22" i="1"/>
  <c r="AD23" i="1" s="1"/>
  <c r="AE22" i="1"/>
  <c r="AE23" i="1" s="1"/>
  <c r="AF22" i="1"/>
  <c r="AF23" i="1" s="1"/>
  <c r="AG22" i="1"/>
  <c r="AG23" i="1" s="1"/>
  <c r="AH22" i="1"/>
  <c r="AI22" i="1"/>
  <c r="AJ22" i="1"/>
  <c r="AK22" i="1"/>
  <c r="AK23" i="1" s="1"/>
  <c r="AL22" i="1"/>
  <c r="AL23" i="1" s="1"/>
  <c r="AM22" i="1"/>
  <c r="AM23" i="1" s="1"/>
  <c r="AN22" i="1"/>
  <c r="AN23" i="1" s="1"/>
  <c r="AO22" i="1"/>
  <c r="AO23" i="1" s="1"/>
  <c r="AP22" i="1"/>
  <c r="AQ22" i="1"/>
  <c r="AR22" i="1"/>
  <c r="AR24" i="1" s="1"/>
  <c r="AS22" i="1"/>
  <c r="AS23" i="1" s="1"/>
  <c r="AT22" i="1"/>
  <c r="AT23" i="1" s="1"/>
  <c r="AU22" i="1"/>
  <c r="AU23" i="1" s="1"/>
  <c r="AV22" i="1"/>
  <c r="AV23" i="1" s="1"/>
  <c r="AW22" i="1"/>
  <c r="AW23" i="1" s="1"/>
  <c r="AX22" i="1"/>
  <c r="AY22" i="1"/>
  <c r="AZ22" i="1"/>
  <c r="AZ24" i="1" s="1"/>
  <c r="AZ46" i="1" s="1"/>
  <c r="BA22" i="1"/>
  <c r="BA23" i="1" s="1"/>
  <c r="BB22" i="1"/>
  <c r="BB23" i="1" s="1"/>
  <c r="BC22" i="1"/>
  <c r="BC23" i="1" s="1"/>
  <c r="BD22" i="1"/>
  <c r="BD23" i="1" s="1"/>
  <c r="BE22" i="1"/>
  <c r="BE23" i="1" s="1"/>
  <c r="BF22" i="1"/>
  <c r="BG22" i="1"/>
  <c r="BH22" i="1"/>
  <c r="BH24" i="1" s="1"/>
  <c r="BI22" i="1"/>
  <c r="BI24" i="1" s="1"/>
  <c r="BJ22" i="1"/>
  <c r="BJ23" i="1" s="1"/>
  <c r="BK22" i="1"/>
  <c r="BK23" i="1" s="1"/>
  <c r="BL22" i="1"/>
  <c r="BL23" i="1" s="1"/>
  <c r="BM22" i="1"/>
  <c r="BM23" i="1" s="1"/>
  <c r="BN22" i="1"/>
  <c r="BO22" i="1"/>
  <c r="BP22" i="1"/>
  <c r="BP24" i="1" s="1"/>
  <c r="BQ22" i="1"/>
  <c r="BQ23" i="1" s="1"/>
  <c r="BR22" i="1"/>
  <c r="BR23" i="1" s="1"/>
  <c r="BS22" i="1"/>
  <c r="BS23" i="1" s="1"/>
  <c r="BT22" i="1"/>
  <c r="BT23" i="1" s="1"/>
  <c r="BU22" i="1"/>
  <c r="BU23" i="1" s="1"/>
  <c r="BV22" i="1"/>
  <c r="BW22" i="1"/>
  <c r="BX22" i="1"/>
  <c r="BX24" i="1" s="1"/>
  <c r="BY22" i="1"/>
  <c r="BY23" i="1" s="1"/>
  <c r="BZ22" i="1"/>
  <c r="BZ23" i="1" s="1"/>
  <c r="CA22" i="1"/>
  <c r="CA23" i="1" s="1"/>
  <c r="CB22" i="1"/>
  <c r="CB23" i="1" s="1"/>
  <c r="CC22" i="1"/>
  <c r="CC23" i="1" s="1"/>
  <c r="CD22" i="1"/>
  <c r="CE22" i="1"/>
  <c r="CF22" i="1"/>
  <c r="CF24" i="1" s="1"/>
  <c r="CG22" i="1"/>
  <c r="CG23" i="1" s="1"/>
  <c r="CH22" i="1"/>
  <c r="CH23" i="1" s="1"/>
  <c r="CI22" i="1"/>
  <c r="CI23" i="1" s="1"/>
  <c r="CJ22" i="1"/>
  <c r="CJ23" i="1" s="1"/>
  <c r="CK22" i="1"/>
  <c r="CK23" i="1" s="1"/>
  <c r="CL22" i="1"/>
  <c r="CM22" i="1"/>
  <c r="CN22" i="1"/>
  <c r="CN24" i="1" s="1"/>
  <c r="CO22" i="1"/>
  <c r="CO23" i="1" s="1"/>
  <c r="CP22" i="1"/>
  <c r="CP23" i="1" s="1"/>
  <c r="CQ22" i="1"/>
  <c r="CQ23" i="1" s="1"/>
  <c r="CR22" i="1"/>
  <c r="CR23" i="1" s="1"/>
  <c r="CS22" i="1"/>
  <c r="CS23" i="1" s="1"/>
  <c r="CT22" i="1"/>
  <c r="CU22" i="1"/>
  <c r="CV22" i="1"/>
  <c r="CV24" i="1" s="1"/>
  <c r="CW22" i="1"/>
  <c r="CW24" i="1" s="1"/>
  <c r="CW46" i="1" s="1"/>
  <c r="CX22" i="1"/>
  <c r="CX23" i="1" s="1"/>
  <c r="CY22" i="1"/>
  <c r="CY23" i="1" s="1"/>
  <c r="CZ22" i="1"/>
  <c r="CZ23" i="1" s="1"/>
  <c r="DA22" i="1"/>
  <c r="DA23" i="1" s="1"/>
  <c r="DB22" i="1"/>
  <c r="DC22" i="1"/>
  <c r="DD22" i="1"/>
  <c r="DD24" i="1" s="1"/>
  <c r="DD46" i="1" s="1"/>
  <c r="DE22" i="1"/>
  <c r="DE23" i="1" s="1"/>
  <c r="DF22" i="1"/>
  <c r="DF23" i="1" s="1"/>
  <c r="DG22" i="1"/>
  <c r="DG23" i="1" s="1"/>
  <c r="DH22" i="1"/>
  <c r="DH23" i="1" s="1"/>
  <c r="DI22" i="1"/>
  <c r="DI23" i="1" s="1"/>
  <c r="DJ22" i="1"/>
  <c r="DK22" i="1"/>
  <c r="DL22" i="1"/>
  <c r="DL24" i="1" s="1"/>
  <c r="DM22" i="1"/>
  <c r="DM24" i="1" s="1"/>
  <c r="DN22" i="1"/>
  <c r="DN23" i="1" s="1"/>
  <c r="DO22" i="1"/>
  <c r="DO23" i="1" s="1"/>
  <c r="DP22" i="1"/>
  <c r="DP23" i="1" s="1"/>
  <c r="DQ22" i="1"/>
  <c r="DQ23" i="1" s="1"/>
  <c r="DR22" i="1"/>
  <c r="DS22" i="1"/>
  <c r="DT22" i="1"/>
  <c r="DT24" i="1" s="1"/>
  <c r="DU22" i="1"/>
  <c r="DU23" i="1" s="1"/>
  <c r="DV22" i="1"/>
  <c r="DV23" i="1" s="1"/>
  <c r="DW22" i="1"/>
  <c r="DW23" i="1" s="1"/>
  <c r="DX22" i="1"/>
  <c r="DX23" i="1" s="1"/>
  <c r="C21" i="1"/>
  <c r="C22" i="1"/>
  <c r="D2" i="1"/>
  <c r="G24" i="1" l="1"/>
  <c r="F24" i="1"/>
  <c r="J24" i="1"/>
  <c r="J46" i="1" s="1"/>
  <c r="DT23" i="1"/>
  <c r="CN23" i="1"/>
  <c r="BX23" i="1"/>
  <c r="CG24" i="1"/>
  <c r="BP23" i="1"/>
  <c r="BQ24" i="1"/>
  <c r="DF24" i="1"/>
  <c r="BB24" i="1"/>
  <c r="BH23" i="1"/>
  <c r="DE24" i="1"/>
  <c r="BA24" i="1"/>
  <c r="CW23" i="1"/>
  <c r="AR23" i="1"/>
  <c r="DG24" i="1"/>
  <c r="BI23" i="1"/>
  <c r="DD23" i="1"/>
  <c r="I24" i="1"/>
  <c r="CO24" i="1"/>
  <c r="AS24" i="1"/>
  <c r="AS46" i="1" s="1"/>
  <c r="CV23" i="1"/>
  <c r="DH24" i="1"/>
  <c r="BD24" i="1"/>
  <c r="BC24" i="1"/>
  <c r="H24" i="1"/>
  <c r="CH24" i="1"/>
  <c r="AL24" i="1"/>
  <c r="AL46" i="1" s="1"/>
  <c r="AJ23" i="1"/>
  <c r="CB24" i="1"/>
  <c r="CB46" i="1" s="1"/>
  <c r="CS24" i="1"/>
  <c r="CA24" i="1"/>
  <c r="O24" i="1"/>
  <c r="DW24" i="1"/>
  <c r="CR24" i="1"/>
  <c r="BZ24" i="1"/>
  <c r="N24" i="1"/>
  <c r="DV24" i="1"/>
  <c r="CQ24" i="1"/>
  <c r="BS24" i="1"/>
  <c r="M24" i="1"/>
  <c r="DU24" i="1"/>
  <c r="CP24" i="1"/>
  <c r="CP46" i="1" s="1"/>
  <c r="BR24" i="1"/>
  <c r="AB23" i="1"/>
  <c r="X24" i="1"/>
  <c r="X46" i="1" s="1"/>
  <c r="L23" i="1"/>
  <c r="DN24" i="1"/>
  <c r="CY24" i="1"/>
  <c r="CK24" i="1"/>
  <c r="BY24" i="1"/>
  <c r="BK24" i="1"/>
  <c r="AV24" i="1"/>
  <c r="AG24" i="1"/>
  <c r="V24" i="1"/>
  <c r="DM23" i="1"/>
  <c r="U23" i="1"/>
  <c r="DO24" i="1"/>
  <c r="CZ24" i="1"/>
  <c r="BL24" i="1"/>
  <c r="AW24" i="1"/>
  <c r="K23" i="1"/>
  <c r="CX24" i="1"/>
  <c r="CJ24" i="1"/>
  <c r="BU24" i="1"/>
  <c r="BU46" i="1" s="1"/>
  <c r="BJ24" i="1"/>
  <c r="AU24" i="1"/>
  <c r="AF24" i="1"/>
  <c r="DL23" i="1"/>
  <c r="CF23" i="1"/>
  <c r="AZ23" i="1"/>
  <c r="T23" i="1"/>
  <c r="Y24" i="1"/>
  <c r="DP24" i="1"/>
  <c r="BM24" i="1"/>
  <c r="W24" i="1"/>
  <c r="DX24" i="1"/>
  <c r="DI24" i="1"/>
  <c r="CI24" i="1"/>
  <c r="CI46" i="1" s="1"/>
  <c r="BT24" i="1"/>
  <c r="AT24" i="1"/>
  <c r="AE24" i="1"/>
  <c r="AE46" i="1" s="1"/>
  <c r="P24" i="1"/>
  <c r="E2" i="1"/>
  <c r="D21" i="1"/>
  <c r="D32" i="1" s="1"/>
  <c r="DS24" i="1"/>
  <c r="DS23" i="1"/>
  <c r="DK24" i="1"/>
  <c r="DK46" i="1" s="1"/>
  <c r="DK23" i="1"/>
  <c r="DC24" i="1"/>
  <c r="DC23" i="1"/>
  <c r="CU23" i="1"/>
  <c r="CU24" i="1"/>
  <c r="CM24" i="1"/>
  <c r="CM23" i="1"/>
  <c r="CE23" i="1"/>
  <c r="CE24" i="1"/>
  <c r="BW23" i="1"/>
  <c r="BW24" i="1"/>
  <c r="BO23" i="1"/>
  <c r="BO24" i="1"/>
  <c r="BG23" i="1"/>
  <c r="BG24" i="1"/>
  <c r="BG46" i="1" s="1"/>
  <c r="AY23" i="1"/>
  <c r="AY24" i="1"/>
  <c r="AQ23" i="1"/>
  <c r="AQ24" i="1"/>
  <c r="AI23" i="1"/>
  <c r="AA24" i="1"/>
  <c r="AA23" i="1"/>
  <c r="S23" i="1"/>
  <c r="S24" i="1"/>
  <c r="CD24" i="1"/>
  <c r="CD23" i="1"/>
  <c r="Z24" i="1"/>
  <c r="Z23" i="1"/>
  <c r="DQ24" i="1"/>
  <c r="BE24" i="1"/>
  <c r="C23" i="1"/>
  <c r="DR24" i="1"/>
  <c r="DR46" i="1" s="1"/>
  <c r="DR23" i="1"/>
  <c r="DJ24" i="1"/>
  <c r="DJ23" i="1"/>
  <c r="DB24" i="1"/>
  <c r="DB23" i="1"/>
  <c r="CT24" i="1"/>
  <c r="CT23" i="1"/>
  <c r="CL24" i="1"/>
  <c r="CL23" i="1"/>
  <c r="BV24" i="1"/>
  <c r="BV23" i="1"/>
  <c r="BN24" i="1"/>
  <c r="BN46" i="1" s="1"/>
  <c r="BN23" i="1"/>
  <c r="BF24" i="1"/>
  <c r="BF23" i="1"/>
  <c r="AX24" i="1"/>
  <c r="AX23" i="1"/>
  <c r="AP24" i="1"/>
  <c r="AP23" i="1"/>
  <c r="AH24" i="1"/>
  <c r="AH23" i="1"/>
  <c r="R24" i="1"/>
  <c r="R23" i="1"/>
  <c r="CC24" i="1"/>
  <c r="Q24" i="1"/>
  <c r="Q46" i="1" s="1"/>
  <c r="DA24" i="1"/>
  <c r="E24" i="1"/>
  <c r="D24" i="1"/>
  <c r="D34" i="1" l="1"/>
  <c r="D33" i="1"/>
  <c r="D52" i="1" s="1"/>
  <c r="D26" i="1"/>
  <c r="D35" i="1"/>
  <c r="D29" i="1"/>
  <c r="F2" i="1"/>
  <c r="E21" i="1"/>
  <c r="D28" i="1" l="1"/>
  <c r="D27" i="1"/>
  <c r="D37" i="1"/>
  <c r="D36" i="1"/>
  <c r="D53" i="1" s="1"/>
  <c r="D31" i="1"/>
  <c r="D30" i="1"/>
  <c r="D51" i="1" s="1"/>
  <c r="E29" i="1"/>
  <c r="E26" i="1"/>
  <c r="E32" i="1"/>
  <c r="E35" i="1"/>
  <c r="G2" i="1"/>
  <c r="F21" i="1"/>
  <c r="D54" i="1" l="1"/>
  <c r="D38" i="1"/>
  <c r="E36" i="1"/>
  <c r="E53" i="1" s="1"/>
  <c r="E37" i="1"/>
  <c r="E27" i="1"/>
  <c r="E50" i="1" s="1"/>
  <c r="E54" i="1" s="1"/>
  <c r="E28" i="1"/>
  <c r="D39" i="1"/>
  <c r="D42" i="1"/>
  <c r="D43" i="1" s="1"/>
  <c r="E31" i="1"/>
  <c r="E30" i="1"/>
  <c r="E51" i="1" s="1"/>
  <c r="E34" i="1"/>
  <c r="E33" i="1"/>
  <c r="E52" i="1" s="1"/>
  <c r="F29" i="1"/>
  <c r="F26" i="1"/>
  <c r="F35" i="1"/>
  <c r="F32" i="1"/>
  <c r="H2" i="1"/>
  <c r="G21" i="1"/>
  <c r="F36" i="1" l="1"/>
  <c r="F53" i="1" s="1"/>
  <c r="F37" i="1"/>
  <c r="F27" i="1"/>
  <c r="F50" i="1" s="1"/>
  <c r="F28" i="1"/>
  <c r="E38" i="1"/>
  <c r="F30" i="1"/>
  <c r="F51" i="1" s="1"/>
  <c r="F31" i="1"/>
  <c r="F34" i="1"/>
  <c r="F33" i="1"/>
  <c r="F52" i="1" s="1"/>
  <c r="G26" i="1"/>
  <c r="G27" i="1" s="1"/>
  <c r="G50" i="1" s="1"/>
  <c r="G32" i="1"/>
  <c r="G29" i="1"/>
  <c r="G35" i="1"/>
  <c r="I2" i="1"/>
  <c r="H21" i="1"/>
  <c r="F54" i="1" l="1"/>
  <c r="G37" i="1"/>
  <c r="G36" i="1"/>
  <c r="G53" i="1" s="1"/>
  <c r="G28" i="1"/>
  <c r="E39" i="1"/>
  <c r="E42" i="1"/>
  <c r="E43" i="1" s="1"/>
  <c r="G31" i="1"/>
  <c r="G30" i="1"/>
  <c r="G51" i="1" s="1"/>
  <c r="G34" i="1"/>
  <c r="G33" i="1"/>
  <c r="G52" i="1" s="1"/>
  <c r="F38" i="1"/>
  <c r="H26" i="1"/>
  <c r="H27" i="1" s="1"/>
  <c r="H50" i="1" s="1"/>
  <c r="H29" i="1"/>
  <c r="H35" i="1"/>
  <c r="H32" i="1"/>
  <c r="I21" i="1"/>
  <c r="J2" i="1"/>
  <c r="I1" i="1"/>
  <c r="G54" i="1" l="1"/>
  <c r="G42" i="1"/>
  <c r="G44" i="1"/>
  <c r="G45" i="1" s="1"/>
  <c r="I46" i="1" s="1"/>
  <c r="I47" i="1" s="1"/>
  <c r="H28" i="1"/>
  <c r="H36" i="1"/>
  <c r="H53" i="1" s="1"/>
  <c r="H37" i="1"/>
  <c r="F39" i="1"/>
  <c r="F42" i="1"/>
  <c r="F43" i="1" s="1"/>
  <c r="H31" i="1"/>
  <c r="H30" i="1"/>
  <c r="H51" i="1" s="1"/>
  <c r="H54" i="1" s="1"/>
  <c r="H34" i="1"/>
  <c r="H33" i="1"/>
  <c r="H52" i="1" s="1"/>
  <c r="I32" i="1"/>
  <c r="I29" i="1"/>
  <c r="I35" i="1"/>
  <c r="I26" i="1"/>
  <c r="I27" i="1" s="1"/>
  <c r="I50" i="1" s="1"/>
  <c r="K2" i="1"/>
  <c r="J21" i="1"/>
  <c r="H38" i="1" l="1"/>
  <c r="J26" i="1"/>
  <c r="J27" i="1" s="1"/>
  <c r="J50" i="1" s="1"/>
  <c r="I28" i="1"/>
  <c r="J35" i="1"/>
  <c r="I37" i="1"/>
  <c r="I36" i="1"/>
  <c r="I53" i="1" s="1"/>
  <c r="I48" i="1"/>
  <c r="J47" i="1"/>
  <c r="J48" i="1" s="1"/>
  <c r="G39" i="1"/>
  <c r="G43" i="1"/>
  <c r="H44" i="1"/>
  <c r="H45" i="1" s="1"/>
  <c r="J29" i="1"/>
  <c r="I31" i="1"/>
  <c r="I30" i="1"/>
  <c r="I51" i="1" s="1"/>
  <c r="I54" i="1" s="1"/>
  <c r="J32" i="1"/>
  <c r="I33" i="1"/>
  <c r="I52" i="1" s="1"/>
  <c r="I34" i="1"/>
  <c r="L2" i="1"/>
  <c r="K21" i="1"/>
  <c r="J36" i="1" l="1"/>
  <c r="J53" i="1" s="1"/>
  <c r="J37" i="1"/>
  <c r="J28" i="1"/>
  <c r="H39" i="1"/>
  <c r="H42" i="1"/>
  <c r="H43" i="1" s="1"/>
  <c r="I44" i="1"/>
  <c r="I45" i="1" s="1"/>
  <c r="K46" i="1" s="1"/>
  <c r="K47" i="1" s="1"/>
  <c r="J34" i="1"/>
  <c r="J33" i="1"/>
  <c r="J52" i="1" s="1"/>
  <c r="J31" i="1"/>
  <c r="J30" i="1"/>
  <c r="J51" i="1" s="1"/>
  <c r="J54" i="1" s="1"/>
  <c r="I38" i="1"/>
  <c r="K29" i="1"/>
  <c r="K32" i="1"/>
  <c r="K35" i="1"/>
  <c r="K26" i="1"/>
  <c r="K27" i="1" s="1"/>
  <c r="K50" i="1" s="1"/>
  <c r="M2" i="1"/>
  <c r="L21" i="1"/>
  <c r="K28" i="1" l="1"/>
  <c r="K36" i="1"/>
  <c r="K53" i="1" s="1"/>
  <c r="K37" i="1"/>
  <c r="K48" i="1"/>
  <c r="J44" i="1"/>
  <c r="J45" i="1" s="1"/>
  <c r="L46" i="1" s="1"/>
  <c r="L47" i="1" s="1"/>
  <c r="I39" i="1"/>
  <c r="I42" i="1"/>
  <c r="I43" i="1" s="1"/>
  <c r="J38" i="1"/>
  <c r="J42" i="1" s="1"/>
  <c r="K34" i="1"/>
  <c r="K33" i="1"/>
  <c r="K52" i="1" s="1"/>
  <c r="K31" i="1"/>
  <c r="K30" i="1"/>
  <c r="L29" i="1"/>
  <c r="L35" i="1"/>
  <c r="L32" i="1"/>
  <c r="L26" i="1"/>
  <c r="L27" i="1" s="1"/>
  <c r="L50" i="1" s="1"/>
  <c r="N2" i="1"/>
  <c r="M21" i="1"/>
  <c r="K38" i="1" l="1"/>
  <c r="K51" i="1"/>
  <c r="K54" i="1" s="1"/>
  <c r="L48" i="1"/>
  <c r="J39" i="1"/>
  <c r="L28" i="1"/>
  <c r="L36" i="1"/>
  <c r="L53" i="1" s="1"/>
  <c r="L37" i="1"/>
  <c r="J43" i="1"/>
  <c r="K44" i="1"/>
  <c r="K45" i="1" s="1"/>
  <c r="M46" i="1" s="1"/>
  <c r="M47" i="1" s="1"/>
  <c r="L34" i="1"/>
  <c r="L33" i="1"/>
  <c r="L52" i="1" s="1"/>
  <c r="L31" i="1"/>
  <c r="L30" i="1"/>
  <c r="L51" i="1" s="1"/>
  <c r="L54" i="1" s="1"/>
  <c r="M29" i="1"/>
  <c r="M35" i="1"/>
  <c r="M32" i="1"/>
  <c r="M26" i="1"/>
  <c r="M27" i="1" s="1"/>
  <c r="M50" i="1" s="1"/>
  <c r="O2" i="1"/>
  <c r="N21" i="1"/>
  <c r="L44" i="1" l="1"/>
  <c r="M48" i="1"/>
  <c r="M28" i="1"/>
  <c r="M36" i="1"/>
  <c r="M53" i="1" s="1"/>
  <c r="M37" i="1"/>
  <c r="L45" i="1"/>
  <c r="N46" i="1" s="1"/>
  <c r="N47" i="1" s="1"/>
  <c r="K39" i="1"/>
  <c r="K42" i="1"/>
  <c r="K43" i="1" s="1"/>
  <c r="L38" i="1"/>
  <c r="M31" i="1"/>
  <c r="M30" i="1"/>
  <c r="M51" i="1" s="1"/>
  <c r="M54" i="1" s="1"/>
  <c r="M34" i="1"/>
  <c r="M33" i="1"/>
  <c r="M52" i="1" s="1"/>
  <c r="N29" i="1"/>
  <c r="N35" i="1"/>
  <c r="N32" i="1"/>
  <c r="N26" i="1"/>
  <c r="N27" i="1" s="1"/>
  <c r="N50" i="1" s="1"/>
  <c r="P2" i="1"/>
  <c r="O21" i="1"/>
  <c r="N48" i="1" l="1"/>
  <c r="N28" i="1"/>
  <c r="N36" i="1"/>
  <c r="N53" i="1" s="1"/>
  <c r="N37" i="1"/>
  <c r="M44" i="1"/>
  <c r="M45" i="1" s="1"/>
  <c r="O46" i="1" s="1"/>
  <c r="O47" i="1" s="1"/>
  <c r="L39" i="1"/>
  <c r="L42" i="1"/>
  <c r="L43" i="1" s="1"/>
  <c r="M38" i="1"/>
  <c r="N34" i="1"/>
  <c r="N33" i="1"/>
  <c r="N52" i="1" s="1"/>
  <c r="N30" i="1"/>
  <c r="N51" i="1" s="1"/>
  <c r="N54" i="1" s="1"/>
  <c r="N31" i="1"/>
  <c r="O29" i="1"/>
  <c r="O35" i="1"/>
  <c r="O26" i="1"/>
  <c r="O27" i="1" s="1"/>
  <c r="O50" i="1" s="1"/>
  <c r="O32" i="1"/>
  <c r="P21" i="1"/>
  <c r="P1" i="1"/>
  <c r="Q2" i="1"/>
  <c r="O48" i="1" l="1"/>
  <c r="O28" i="1"/>
  <c r="O37" i="1"/>
  <c r="O36" i="1"/>
  <c r="O53" i="1" s="1"/>
  <c r="N38" i="1"/>
  <c r="N44" i="1"/>
  <c r="N45" i="1" s="1"/>
  <c r="P46" i="1" s="1"/>
  <c r="P47" i="1" s="1"/>
  <c r="M39" i="1"/>
  <c r="M42" i="1"/>
  <c r="M43" i="1" s="1"/>
  <c r="O30" i="1"/>
  <c r="O51" i="1" s="1"/>
  <c r="O31" i="1"/>
  <c r="O34" i="1"/>
  <c r="O33" i="1"/>
  <c r="O52" i="1" s="1"/>
  <c r="O54" i="1" s="1"/>
  <c r="P35" i="1"/>
  <c r="P29" i="1"/>
  <c r="P32" i="1"/>
  <c r="P26" i="1"/>
  <c r="P27" i="1" s="1"/>
  <c r="P50" i="1" s="1"/>
  <c r="R2" i="1"/>
  <c r="Q21" i="1"/>
  <c r="P48" i="1" l="1"/>
  <c r="Q47" i="1"/>
  <c r="O44" i="1"/>
  <c r="O45" i="1" s="1"/>
  <c r="N39" i="1"/>
  <c r="N42" i="1"/>
  <c r="N43" i="1" s="1"/>
  <c r="Q32" i="1"/>
  <c r="P34" i="1"/>
  <c r="P33" i="1"/>
  <c r="P52" i="1" s="1"/>
  <c r="O38" i="1"/>
  <c r="Q29" i="1"/>
  <c r="P31" i="1"/>
  <c r="P30" i="1"/>
  <c r="P51" i="1" s="1"/>
  <c r="P54" i="1" s="1"/>
  <c r="Q35" i="1"/>
  <c r="P37" i="1"/>
  <c r="P36" i="1"/>
  <c r="P53" i="1" s="1"/>
  <c r="Q26" i="1"/>
  <c r="Q27" i="1" s="1"/>
  <c r="P28" i="1"/>
  <c r="S2" i="1"/>
  <c r="R21" i="1"/>
  <c r="Q48" i="1" l="1"/>
  <c r="O39" i="1"/>
  <c r="O42" i="1"/>
  <c r="O43" i="1" s="1"/>
  <c r="P44" i="1"/>
  <c r="P45" i="1" s="1"/>
  <c r="R46" i="1" s="1"/>
  <c r="R47" i="1" s="1"/>
  <c r="P38" i="1"/>
  <c r="P42" i="1" s="1"/>
  <c r="P43" i="1" s="1"/>
  <c r="Q30" i="1"/>
  <c r="Q31" i="1"/>
  <c r="Q37" i="1"/>
  <c r="Q36" i="1"/>
  <c r="Q28" i="1"/>
  <c r="Q33" i="1"/>
  <c r="Q34" i="1"/>
  <c r="R29" i="1"/>
  <c r="R35" i="1"/>
  <c r="R32" i="1"/>
  <c r="R26" i="1"/>
  <c r="T2" i="1"/>
  <c r="S21" i="1"/>
  <c r="R48" i="1" l="1"/>
  <c r="P39" i="1"/>
  <c r="Q38" i="1"/>
  <c r="Q42" i="1" s="1"/>
  <c r="Q43" i="1" s="1"/>
  <c r="Q44" i="1"/>
  <c r="Q45" i="1" s="1"/>
  <c r="S46" i="1" s="1"/>
  <c r="S47" i="1" s="1"/>
  <c r="R27" i="1"/>
  <c r="R28" i="1"/>
  <c r="R33" i="1"/>
  <c r="R34" i="1"/>
  <c r="R37" i="1"/>
  <c r="R36" i="1"/>
  <c r="R31" i="1"/>
  <c r="R30" i="1"/>
  <c r="S26" i="1"/>
  <c r="S32" i="1"/>
  <c r="S35" i="1"/>
  <c r="S29" i="1"/>
  <c r="U2" i="1"/>
  <c r="T21" i="1"/>
  <c r="S48" i="1" l="1"/>
  <c r="R44" i="1"/>
  <c r="R45" i="1" s="1"/>
  <c r="T46" i="1" s="1"/>
  <c r="T47" i="1" s="1"/>
  <c r="Q39" i="1"/>
  <c r="S31" i="1"/>
  <c r="S30" i="1"/>
  <c r="S37" i="1"/>
  <c r="S36" i="1"/>
  <c r="S34" i="1"/>
  <c r="S33" i="1"/>
  <c r="S27" i="1"/>
  <c r="S28" i="1"/>
  <c r="R38" i="1"/>
  <c r="R42" i="1" s="1"/>
  <c r="R43" i="1" s="1"/>
  <c r="T29" i="1"/>
  <c r="T35" i="1"/>
  <c r="T32" i="1"/>
  <c r="T26" i="1"/>
  <c r="V2" i="1"/>
  <c r="U21" i="1"/>
  <c r="T48" i="1" l="1"/>
  <c r="R39" i="1"/>
  <c r="S44" i="1"/>
  <c r="S45" i="1" s="1"/>
  <c r="U46" i="1" s="1"/>
  <c r="U47" i="1" s="1"/>
  <c r="T27" i="1"/>
  <c r="T28" i="1"/>
  <c r="T33" i="1"/>
  <c r="T34" i="1"/>
  <c r="T37" i="1"/>
  <c r="T36" i="1"/>
  <c r="T31" i="1"/>
  <c r="T30" i="1"/>
  <c r="S38" i="1"/>
  <c r="S42" i="1" s="1"/>
  <c r="S43" i="1" s="1"/>
  <c r="U26" i="1"/>
  <c r="U32" i="1"/>
  <c r="U35" i="1"/>
  <c r="U29" i="1"/>
  <c r="W2" i="1"/>
  <c r="V21" i="1"/>
  <c r="U48" i="1" l="1"/>
  <c r="T44" i="1"/>
  <c r="T45" i="1" s="1"/>
  <c r="V46" i="1" s="1"/>
  <c r="V47" i="1" s="1"/>
  <c r="S39" i="1"/>
  <c r="U36" i="1"/>
  <c r="U37" i="1"/>
  <c r="U28" i="1"/>
  <c r="U27" i="1"/>
  <c r="U31" i="1"/>
  <c r="U30" i="1"/>
  <c r="U34" i="1"/>
  <c r="U33" i="1"/>
  <c r="T38" i="1"/>
  <c r="V29" i="1"/>
  <c r="V35" i="1"/>
  <c r="V32" i="1"/>
  <c r="V26" i="1"/>
  <c r="W21" i="1"/>
  <c r="W1" i="1"/>
  <c r="X2" i="1"/>
  <c r="V48" i="1" l="1"/>
  <c r="U44" i="1"/>
  <c r="U45" i="1" s="1"/>
  <c r="W46" i="1" s="1"/>
  <c r="W47" i="1" s="1"/>
  <c r="T39" i="1"/>
  <c r="T42" i="1"/>
  <c r="T43" i="1" s="1"/>
  <c r="V28" i="1"/>
  <c r="V27" i="1"/>
  <c r="V36" i="1"/>
  <c r="V37" i="1"/>
  <c r="V31" i="1"/>
  <c r="V30" i="1"/>
  <c r="V34" i="1"/>
  <c r="V33" i="1"/>
  <c r="U38" i="1"/>
  <c r="W26" i="1"/>
  <c r="W32" i="1"/>
  <c r="W35" i="1"/>
  <c r="W29" i="1"/>
  <c r="Y2" i="1"/>
  <c r="X21" i="1"/>
  <c r="X47" i="1" l="1"/>
  <c r="W48" i="1"/>
  <c r="V44" i="1"/>
  <c r="V45" i="1" s="1"/>
  <c r="U39" i="1"/>
  <c r="U42" i="1"/>
  <c r="U43" i="1" s="1"/>
  <c r="V38" i="1"/>
  <c r="V42" i="1" s="1"/>
  <c r="X35" i="1"/>
  <c r="W37" i="1"/>
  <c r="W36" i="1"/>
  <c r="X29" i="1"/>
  <c r="W30" i="1"/>
  <c r="W31" i="1"/>
  <c r="X32" i="1"/>
  <c r="W34" i="1"/>
  <c r="W33" i="1"/>
  <c r="X26" i="1"/>
  <c r="W28" i="1"/>
  <c r="W27" i="1"/>
  <c r="Z2" i="1"/>
  <c r="Y21" i="1"/>
  <c r="Y29" i="1" s="1"/>
  <c r="V39" i="1" l="1"/>
  <c r="X48" i="1"/>
  <c r="V43" i="1"/>
  <c r="W44" i="1"/>
  <c r="W45" i="1" s="1"/>
  <c r="Y46" i="1" s="1"/>
  <c r="Y47" i="1" s="1"/>
  <c r="X34" i="1"/>
  <c r="X33" i="1"/>
  <c r="W38" i="1"/>
  <c r="Y31" i="1"/>
  <c r="Y30" i="1"/>
  <c r="X36" i="1"/>
  <c r="X37" i="1"/>
  <c r="X31" i="1"/>
  <c r="X30" i="1"/>
  <c r="X28" i="1"/>
  <c r="X27" i="1"/>
  <c r="Y26" i="1"/>
  <c r="Y32" i="1"/>
  <c r="Y35" i="1"/>
  <c r="AA2" i="1"/>
  <c r="Z21" i="1"/>
  <c r="Z29" i="1" s="1"/>
  <c r="Y48" i="1" l="1"/>
  <c r="X44" i="1"/>
  <c r="W39" i="1"/>
  <c r="W42" i="1"/>
  <c r="W43" i="1" s="1"/>
  <c r="X45" i="1"/>
  <c r="Z46" i="1" s="1"/>
  <c r="Z47" i="1" s="1"/>
  <c r="Y37" i="1"/>
  <c r="Y36" i="1"/>
  <c r="Y34" i="1"/>
  <c r="Y33" i="1"/>
  <c r="Z31" i="1"/>
  <c r="Z30" i="1"/>
  <c r="Y28" i="1"/>
  <c r="Y27" i="1"/>
  <c r="X38" i="1"/>
  <c r="X42" i="1" s="1"/>
  <c r="Z35" i="1"/>
  <c r="Z32" i="1"/>
  <c r="Z26" i="1"/>
  <c r="AB2" i="1"/>
  <c r="AA21" i="1"/>
  <c r="AA29" i="1" s="1"/>
  <c r="X39" i="1" l="1"/>
  <c r="Z48" i="1"/>
  <c r="Y44" i="1"/>
  <c r="X43" i="1"/>
  <c r="Y45" i="1"/>
  <c r="AA46" i="1" s="1"/>
  <c r="AA47" i="1" s="1"/>
  <c r="Y38" i="1"/>
  <c r="Y42" i="1" s="1"/>
  <c r="Z28" i="1"/>
  <c r="Z27" i="1"/>
  <c r="Z33" i="1"/>
  <c r="Z34" i="1"/>
  <c r="Z37" i="1"/>
  <c r="Z36" i="1"/>
  <c r="AA31" i="1"/>
  <c r="AA30" i="1"/>
  <c r="AA26" i="1"/>
  <c r="AA32" i="1"/>
  <c r="AA35" i="1"/>
  <c r="AC2" i="1"/>
  <c r="AB21" i="1"/>
  <c r="AB29" i="1" s="1"/>
  <c r="AC29" i="1" s="1"/>
  <c r="AD29" i="1" s="1"/>
  <c r="AE29" i="1" s="1"/>
  <c r="AA48" i="1" l="1"/>
  <c r="Y39" i="1"/>
  <c r="Z44" i="1"/>
  <c r="Z45" i="1" s="1"/>
  <c r="AB46" i="1" s="1"/>
  <c r="AB47" i="1" s="1"/>
  <c r="Y43" i="1"/>
  <c r="AB31" i="1"/>
  <c r="AB30" i="1"/>
  <c r="AA34" i="1"/>
  <c r="AA33" i="1"/>
  <c r="AA28" i="1"/>
  <c r="AA27" i="1"/>
  <c r="Z38" i="1"/>
  <c r="AA37" i="1"/>
  <c r="AA36" i="1"/>
  <c r="AB35" i="1"/>
  <c r="AC35" i="1" s="1"/>
  <c r="AD35" i="1" s="1"/>
  <c r="AE35" i="1" s="1"/>
  <c r="AB32" i="1"/>
  <c r="AC32" i="1" s="1"/>
  <c r="AD32" i="1" s="1"/>
  <c r="AE32" i="1" s="1"/>
  <c r="AB26" i="1"/>
  <c r="AC26" i="1" s="1"/>
  <c r="AD26" i="1" s="1"/>
  <c r="AE26" i="1" s="1"/>
  <c r="AD2" i="1"/>
  <c r="AC21" i="1"/>
  <c r="AC47" i="1" l="1"/>
  <c r="AB48" i="1"/>
  <c r="Z39" i="1"/>
  <c r="Z42" i="1"/>
  <c r="Z43" i="1" s="1"/>
  <c r="AA44" i="1"/>
  <c r="AA45" i="1" s="1"/>
  <c r="AA38" i="1"/>
  <c r="AA42" i="1" s="1"/>
  <c r="AC31" i="1"/>
  <c r="AC30" i="1"/>
  <c r="AB28" i="1"/>
  <c r="AB27" i="1"/>
  <c r="AB34" i="1"/>
  <c r="AB33" i="1"/>
  <c r="AB37" i="1"/>
  <c r="AB36" i="1"/>
  <c r="AD21" i="1"/>
  <c r="AE2" i="1"/>
  <c r="AD1" i="1"/>
  <c r="C9" i="1" s="1"/>
  <c r="D9" i="1" s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AD40" i="1" l="1"/>
  <c r="AD41" i="1" s="1"/>
  <c r="AE41" i="1" s="1"/>
  <c r="AF41" i="1" s="1"/>
  <c r="AG41" i="1" s="1"/>
  <c r="AH41" i="1" s="1"/>
  <c r="AI41" i="1" s="1"/>
  <c r="AJ41" i="1" s="1"/>
  <c r="AA39" i="1"/>
  <c r="AD47" i="1"/>
  <c r="AC48" i="1"/>
  <c r="AA43" i="1"/>
  <c r="AB44" i="1"/>
  <c r="AB45" i="1" s="1"/>
  <c r="AC36" i="1"/>
  <c r="AB38" i="1"/>
  <c r="AD31" i="1"/>
  <c r="AD30" i="1"/>
  <c r="AC34" i="1"/>
  <c r="AC33" i="1"/>
  <c r="AC28" i="1"/>
  <c r="AC27" i="1"/>
  <c r="AF2" i="1"/>
  <c r="AE21" i="1"/>
  <c r="AE47" i="1" l="1"/>
  <c r="AD48" i="1"/>
  <c r="AC44" i="1"/>
  <c r="AC45" i="1" s="1"/>
  <c r="AB39" i="1"/>
  <c r="AB42" i="1"/>
  <c r="AB43" i="1" s="1"/>
  <c r="AE31" i="1"/>
  <c r="AE30" i="1"/>
  <c r="AD34" i="1"/>
  <c r="AD33" i="1"/>
  <c r="AD27" i="1"/>
  <c r="AD28" i="1"/>
  <c r="AC38" i="1"/>
  <c r="AC42" i="1" s="1"/>
  <c r="AD36" i="1"/>
  <c r="AG2" i="1"/>
  <c r="AF21" i="1"/>
  <c r="AE48" i="1" l="1"/>
  <c r="AC39" i="1"/>
  <c r="AD44" i="1"/>
  <c r="AD45" i="1" s="1"/>
  <c r="AF46" i="1" s="1"/>
  <c r="AF47" i="1" s="1"/>
  <c r="AC43" i="1"/>
  <c r="AD38" i="1"/>
  <c r="AD42" i="1" s="1"/>
  <c r="AE27" i="1"/>
  <c r="AE28" i="1"/>
  <c r="AE34" i="1"/>
  <c r="AE33" i="1"/>
  <c r="AE37" i="1"/>
  <c r="AE36" i="1"/>
  <c r="AF29" i="1"/>
  <c r="AF26" i="1"/>
  <c r="AF35" i="1"/>
  <c r="AF32" i="1"/>
  <c r="AH2" i="1"/>
  <c r="AG21" i="1"/>
  <c r="AF48" i="1" l="1"/>
  <c r="AE44" i="1"/>
  <c r="AE45" i="1" s="1"/>
  <c r="AG46" i="1" s="1"/>
  <c r="AG47" i="1" s="1"/>
  <c r="AD39" i="1"/>
  <c r="AD43" i="1"/>
  <c r="AF30" i="1"/>
  <c r="AF31" i="1"/>
  <c r="AF34" i="1"/>
  <c r="AF33" i="1"/>
  <c r="AF37" i="1"/>
  <c r="AF36" i="1"/>
  <c r="AF28" i="1"/>
  <c r="AF27" i="1"/>
  <c r="AE38" i="1"/>
  <c r="AG35" i="1"/>
  <c r="AG32" i="1"/>
  <c r="AG26" i="1"/>
  <c r="AG29" i="1"/>
  <c r="AI2" i="1"/>
  <c r="AH21" i="1"/>
  <c r="AG48" i="1" l="1"/>
  <c r="AE39" i="1"/>
  <c r="AE42" i="1"/>
  <c r="AE43" i="1" s="1"/>
  <c r="AF44" i="1"/>
  <c r="AF45" i="1" s="1"/>
  <c r="AH46" i="1" s="1"/>
  <c r="AH47" i="1" s="1"/>
  <c r="AG37" i="1"/>
  <c r="AG36" i="1"/>
  <c r="AG28" i="1"/>
  <c r="AG27" i="1"/>
  <c r="AG34" i="1"/>
  <c r="AG33" i="1"/>
  <c r="AG31" i="1"/>
  <c r="AG30" i="1"/>
  <c r="AF38" i="1"/>
  <c r="AH26" i="1"/>
  <c r="AI26" i="1" s="1"/>
  <c r="AJ26" i="1" s="1"/>
  <c r="AK26" i="1" s="1"/>
  <c r="AL26" i="1" s="1"/>
  <c r="AM26" i="1" s="1"/>
  <c r="AN26" i="1" s="1"/>
  <c r="AO26" i="1" s="1"/>
  <c r="AH29" i="1"/>
  <c r="AI29" i="1" s="1"/>
  <c r="AJ29" i="1" s="1"/>
  <c r="AK29" i="1" s="1"/>
  <c r="AL29" i="1" s="1"/>
  <c r="AM29" i="1" s="1"/>
  <c r="AN29" i="1" s="1"/>
  <c r="AO29" i="1" s="1"/>
  <c r="AH32" i="1"/>
  <c r="AI32" i="1" s="1"/>
  <c r="AJ32" i="1" s="1"/>
  <c r="AK32" i="1" s="1"/>
  <c r="AL32" i="1" s="1"/>
  <c r="AM32" i="1" s="1"/>
  <c r="AN32" i="1" s="1"/>
  <c r="AO32" i="1" s="1"/>
  <c r="AH35" i="1"/>
  <c r="AI35" i="1" s="1"/>
  <c r="AJ35" i="1" s="1"/>
  <c r="AK35" i="1" s="1"/>
  <c r="AL35" i="1" s="1"/>
  <c r="AM35" i="1" s="1"/>
  <c r="AN35" i="1" s="1"/>
  <c r="AO35" i="1" s="1"/>
  <c r="AJ2" i="1"/>
  <c r="AI21" i="1"/>
  <c r="AI47" i="1" l="1"/>
  <c r="AH48" i="1"/>
  <c r="AG44" i="1"/>
  <c r="AF39" i="1"/>
  <c r="AF42" i="1"/>
  <c r="AF43" i="1" s="1"/>
  <c r="AG45" i="1"/>
  <c r="AH34" i="1"/>
  <c r="AH33" i="1"/>
  <c r="AH37" i="1"/>
  <c r="AH36" i="1"/>
  <c r="AG38" i="1"/>
  <c r="AH31" i="1"/>
  <c r="AH30" i="1"/>
  <c r="AH28" i="1"/>
  <c r="AH27" i="1"/>
  <c r="AK2" i="1"/>
  <c r="AJ21" i="1"/>
  <c r="AJ47" i="1" l="1"/>
  <c r="AI48" i="1"/>
  <c r="AH44" i="1"/>
  <c r="AH45" i="1" s="1"/>
  <c r="AG39" i="1"/>
  <c r="AG42" i="1"/>
  <c r="AG43" i="1"/>
  <c r="AI31" i="1"/>
  <c r="AI30" i="1"/>
  <c r="AI28" i="1"/>
  <c r="AI27" i="1"/>
  <c r="AI33" i="1"/>
  <c r="AI34" i="1"/>
  <c r="AI37" i="1"/>
  <c r="AI36" i="1"/>
  <c r="AH38" i="1"/>
  <c r="AK21" i="1"/>
  <c r="AK40" i="1" s="1"/>
  <c r="AK41" i="1" s="1"/>
  <c r="AL41" i="1" s="1"/>
  <c r="AM41" i="1" s="1"/>
  <c r="AN41" i="1" s="1"/>
  <c r="AO41" i="1" s="1"/>
  <c r="AP41" i="1" s="1"/>
  <c r="AQ41" i="1" s="1"/>
  <c r="AL2" i="1"/>
  <c r="AK1" i="1"/>
  <c r="AK47" i="1" l="1"/>
  <c r="AJ48" i="1"/>
  <c r="AI44" i="1"/>
  <c r="AI45" i="1" s="1"/>
  <c r="AH39" i="1"/>
  <c r="AH42" i="1"/>
  <c r="AH43" i="1"/>
  <c r="AJ37" i="1"/>
  <c r="AJ36" i="1"/>
  <c r="AJ34" i="1"/>
  <c r="AJ33" i="1"/>
  <c r="AI38" i="1"/>
  <c r="AJ31" i="1"/>
  <c r="AJ30" i="1"/>
  <c r="AJ28" i="1"/>
  <c r="AJ27" i="1"/>
  <c r="AM2" i="1"/>
  <c r="AL21" i="1"/>
  <c r="AL47" i="1" l="1"/>
  <c r="AK48" i="1"/>
  <c r="AJ44" i="1"/>
  <c r="AJ45" i="1" s="1"/>
  <c r="AI39" i="1"/>
  <c r="AI42" i="1"/>
  <c r="AI43" i="1" s="1"/>
  <c r="AK28" i="1"/>
  <c r="AK27" i="1"/>
  <c r="AK37" i="1"/>
  <c r="AK36" i="1"/>
  <c r="AK34" i="1"/>
  <c r="AK33" i="1"/>
  <c r="AK31" i="1"/>
  <c r="AK30" i="1"/>
  <c r="AJ38" i="1"/>
  <c r="AN2" i="1"/>
  <c r="AM21" i="1"/>
  <c r="AM47" i="1" l="1"/>
  <c r="AL48" i="1"/>
  <c r="AJ39" i="1"/>
  <c r="AJ42" i="1"/>
  <c r="AJ43" i="1" s="1"/>
  <c r="AK44" i="1"/>
  <c r="AK45" i="1" s="1"/>
  <c r="AM37" i="1"/>
  <c r="AM36" i="1"/>
  <c r="AL36" i="1"/>
  <c r="AL37" i="1"/>
  <c r="AL31" i="1"/>
  <c r="AL30" i="1"/>
  <c r="AL28" i="1"/>
  <c r="AL27" i="1"/>
  <c r="AL34" i="1"/>
  <c r="AL33" i="1"/>
  <c r="AK38" i="1"/>
  <c r="AO2" i="1"/>
  <c r="AN21" i="1"/>
  <c r="AN47" i="1" l="1"/>
  <c r="AM48" i="1"/>
  <c r="AK39" i="1"/>
  <c r="AK42" i="1"/>
  <c r="AK43" i="1" s="1"/>
  <c r="AL44" i="1"/>
  <c r="AL45" i="1" s="1"/>
  <c r="AM28" i="1"/>
  <c r="AM27" i="1"/>
  <c r="AM31" i="1"/>
  <c r="AM30" i="1"/>
  <c r="AM33" i="1"/>
  <c r="AM34" i="1"/>
  <c r="AN37" i="1"/>
  <c r="AN36" i="1"/>
  <c r="AL38" i="1"/>
  <c r="AP2" i="1"/>
  <c r="AO21" i="1"/>
  <c r="AO47" i="1" l="1"/>
  <c r="AN48" i="1"/>
  <c r="AM44" i="1"/>
  <c r="AM45" i="1" s="1"/>
  <c r="AL39" i="1"/>
  <c r="AL42" i="1"/>
  <c r="AL43" i="1" s="1"/>
  <c r="AO37" i="1"/>
  <c r="AO36" i="1"/>
  <c r="AN34" i="1"/>
  <c r="AN33" i="1"/>
  <c r="AN31" i="1"/>
  <c r="AN30" i="1"/>
  <c r="AN28" i="1"/>
  <c r="AN27" i="1"/>
  <c r="AM38" i="1"/>
  <c r="AQ2" i="1"/>
  <c r="AP21" i="1"/>
  <c r="AP35" i="1" s="1"/>
  <c r="AO48" i="1" l="1"/>
  <c r="AM39" i="1"/>
  <c r="AM42" i="1"/>
  <c r="AM43" i="1" s="1"/>
  <c r="AN44" i="1"/>
  <c r="AN45" i="1" s="1"/>
  <c r="AP46" i="1" s="1"/>
  <c r="AP47" i="1" s="1"/>
  <c r="AP36" i="1"/>
  <c r="AP37" i="1"/>
  <c r="AO30" i="1"/>
  <c r="AO31" i="1"/>
  <c r="AO33" i="1"/>
  <c r="AO34" i="1"/>
  <c r="AO27" i="1"/>
  <c r="AO28" i="1"/>
  <c r="AN38" i="1"/>
  <c r="AP32" i="1"/>
  <c r="AP26" i="1"/>
  <c r="AP29" i="1"/>
  <c r="AR2" i="1"/>
  <c r="AQ21" i="1"/>
  <c r="AQ32" i="1" l="1"/>
  <c r="AP48" i="1"/>
  <c r="AN39" i="1"/>
  <c r="AN42" i="1"/>
  <c r="AN43" i="1" s="1"/>
  <c r="AO44" i="1"/>
  <c r="AO45" i="1" s="1"/>
  <c r="AQ46" i="1" s="1"/>
  <c r="AQ47" i="1" s="1"/>
  <c r="AO38" i="1"/>
  <c r="AO42" i="1" s="1"/>
  <c r="AQ34" i="1"/>
  <c r="AQ33" i="1"/>
  <c r="AP31" i="1"/>
  <c r="AP30" i="1"/>
  <c r="AP28" i="1"/>
  <c r="AP27" i="1"/>
  <c r="AP34" i="1"/>
  <c r="AP33" i="1"/>
  <c r="AQ29" i="1"/>
  <c r="AQ26" i="1"/>
  <c r="AQ35" i="1"/>
  <c r="AR21" i="1"/>
  <c r="AR1" i="1"/>
  <c r="AS2" i="1"/>
  <c r="AO39" i="1" l="1"/>
  <c r="AQ48" i="1"/>
  <c r="AR32" i="1"/>
  <c r="AS32" i="1" s="1"/>
  <c r="AR40" i="1"/>
  <c r="AR41" i="1" s="1"/>
  <c r="AS41" i="1" s="1"/>
  <c r="AT41" i="1" s="1"/>
  <c r="AU41" i="1" s="1"/>
  <c r="AV41" i="1" s="1"/>
  <c r="AW41" i="1" s="1"/>
  <c r="AX41" i="1" s="1"/>
  <c r="AO43" i="1"/>
  <c r="AP44" i="1"/>
  <c r="AP45" i="1" s="1"/>
  <c r="AR46" i="1" s="1"/>
  <c r="AR47" i="1" s="1"/>
  <c r="AQ37" i="1"/>
  <c r="AQ36" i="1"/>
  <c r="AP38" i="1"/>
  <c r="AQ28" i="1"/>
  <c r="AQ27" i="1"/>
  <c r="AQ31" i="1"/>
  <c r="AQ30" i="1"/>
  <c r="AR35" i="1"/>
  <c r="AR26" i="1"/>
  <c r="AR29" i="1"/>
  <c r="AT2" i="1"/>
  <c r="AS21" i="1"/>
  <c r="AR34" i="1" l="1"/>
  <c r="AR33" i="1"/>
  <c r="AS47" i="1"/>
  <c r="AR48" i="1"/>
  <c r="AQ38" i="1"/>
  <c r="AQ42" i="1" s="1"/>
  <c r="AQ44" i="1"/>
  <c r="AQ45" i="1" s="1"/>
  <c r="AP39" i="1"/>
  <c r="AP42" i="1"/>
  <c r="AP43" i="1" s="1"/>
  <c r="AS29" i="1"/>
  <c r="AR31" i="1"/>
  <c r="AR30" i="1"/>
  <c r="AS26" i="1"/>
  <c r="AR28" i="1"/>
  <c r="AR27" i="1"/>
  <c r="AS35" i="1"/>
  <c r="AR37" i="1"/>
  <c r="AR36" i="1"/>
  <c r="AS34" i="1"/>
  <c r="AS33" i="1"/>
  <c r="AU2" i="1"/>
  <c r="AT21" i="1"/>
  <c r="AT32" i="1" s="1"/>
  <c r="AQ43" i="1" l="1"/>
  <c r="AQ39" i="1"/>
  <c r="AS48" i="1"/>
  <c r="AR44" i="1"/>
  <c r="AR45" i="1" s="1"/>
  <c r="AT46" i="1" s="1"/>
  <c r="AT47" i="1" s="1"/>
  <c r="AR38" i="1"/>
  <c r="AR42" i="1" s="1"/>
  <c r="AR43" i="1" s="1"/>
  <c r="AT34" i="1"/>
  <c r="AT33" i="1"/>
  <c r="AS28" i="1"/>
  <c r="AS27" i="1"/>
  <c r="AS37" i="1"/>
  <c r="AS36" i="1"/>
  <c r="AS31" i="1"/>
  <c r="AS30" i="1"/>
  <c r="AT35" i="1"/>
  <c r="AT26" i="1"/>
  <c r="AT29" i="1"/>
  <c r="AV2" i="1"/>
  <c r="AU21" i="1"/>
  <c r="AU32" i="1" s="1"/>
  <c r="AT48" i="1" l="1"/>
  <c r="AR39" i="1"/>
  <c r="AS44" i="1"/>
  <c r="AS45" i="1" s="1"/>
  <c r="AU46" i="1" s="1"/>
  <c r="AU47" i="1" s="1"/>
  <c r="AU34" i="1"/>
  <c r="AU33" i="1"/>
  <c r="AT31" i="1"/>
  <c r="AT30" i="1"/>
  <c r="AS38" i="1"/>
  <c r="AT27" i="1"/>
  <c r="AT28" i="1"/>
  <c r="AT37" i="1"/>
  <c r="AT36" i="1"/>
  <c r="AU26" i="1"/>
  <c r="AU29" i="1"/>
  <c r="AU35" i="1"/>
  <c r="AW2" i="1"/>
  <c r="AV21" i="1"/>
  <c r="AV32" i="1" s="1"/>
  <c r="AU48" i="1" l="1"/>
  <c r="AS39" i="1"/>
  <c r="AS42" i="1"/>
  <c r="AS43" i="1" s="1"/>
  <c r="AT44" i="1"/>
  <c r="AT45" i="1" s="1"/>
  <c r="AV46" i="1" s="1"/>
  <c r="AV47" i="1" s="1"/>
  <c r="AT38" i="1"/>
  <c r="AV34" i="1"/>
  <c r="AV33" i="1"/>
  <c r="AU36" i="1"/>
  <c r="AU37" i="1"/>
  <c r="AU31" i="1"/>
  <c r="AU30" i="1"/>
  <c r="AU27" i="1"/>
  <c r="AU28" i="1"/>
  <c r="AV35" i="1"/>
  <c r="AV29" i="1"/>
  <c r="AV26" i="1"/>
  <c r="AX2" i="1"/>
  <c r="AW21" i="1"/>
  <c r="AW32" i="1" s="1"/>
  <c r="AV48" i="1" l="1"/>
  <c r="AT39" i="1"/>
  <c r="AT42" i="1"/>
  <c r="AT43" i="1" s="1"/>
  <c r="AU44" i="1"/>
  <c r="AU45" i="1" s="1"/>
  <c r="AW46" i="1" s="1"/>
  <c r="AW47" i="1" s="1"/>
  <c r="AU38" i="1"/>
  <c r="AW33" i="1"/>
  <c r="AW34" i="1"/>
  <c r="AV28" i="1"/>
  <c r="AV27" i="1"/>
  <c r="AV31" i="1"/>
  <c r="AV30" i="1"/>
  <c r="AV36" i="1"/>
  <c r="AV37" i="1"/>
  <c r="AW26" i="1"/>
  <c r="AW29" i="1"/>
  <c r="AW35" i="1"/>
  <c r="AY2" i="1"/>
  <c r="AX21" i="1"/>
  <c r="AX32" i="1" s="1"/>
  <c r="AW48" i="1" l="1"/>
  <c r="AV44" i="1"/>
  <c r="AV45" i="1" s="1"/>
  <c r="AX46" i="1" s="1"/>
  <c r="AX47" i="1" s="1"/>
  <c r="AU39" i="1"/>
  <c r="AU42" i="1"/>
  <c r="AU43" i="1" s="1"/>
  <c r="AV38" i="1"/>
  <c r="AV42" i="1" s="1"/>
  <c r="AX34" i="1"/>
  <c r="AX33" i="1"/>
  <c r="AW37" i="1"/>
  <c r="AW36" i="1"/>
  <c r="AW27" i="1"/>
  <c r="AW28" i="1"/>
  <c r="AW31" i="1"/>
  <c r="AW30" i="1"/>
  <c r="AX35" i="1"/>
  <c r="AX29" i="1"/>
  <c r="AX26" i="1"/>
  <c r="AY21" i="1"/>
  <c r="AZ2" i="1"/>
  <c r="AY1" i="1"/>
  <c r="AV39" i="1" l="1"/>
  <c r="AX48" i="1"/>
  <c r="AY32" i="1"/>
  <c r="AZ32" i="1" s="1"/>
  <c r="AY40" i="1"/>
  <c r="AY41" i="1" s="1"/>
  <c r="AZ41" i="1" s="1"/>
  <c r="BA41" i="1" s="1"/>
  <c r="BB41" i="1" s="1"/>
  <c r="BC41" i="1" s="1"/>
  <c r="BD41" i="1" s="1"/>
  <c r="BE41" i="1" s="1"/>
  <c r="AV43" i="1"/>
  <c r="AW44" i="1"/>
  <c r="AW45" i="1" s="1"/>
  <c r="AY46" i="1" s="1"/>
  <c r="AY47" i="1" s="1"/>
  <c r="AW38" i="1"/>
  <c r="AW42" i="1" s="1"/>
  <c r="AY33" i="1"/>
  <c r="AX31" i="1"/>
  <c r="AX30" i="1"/>
  <c r="AX36" i="1"/>
  <c r="AX37" i="1"/>
  <c r="AX28" i="1"/>
  <c r="AX27" i="1"/>
  <c r="AY26" i="1"/>
  <c r="AY29" i="1"/>
  <c r="AY35" i="1"/>
  <c r="BA2" i="1"/>
  <c r="AZ21" i="1"/>
  <c r="AW39" i="1" l="1"/>
  <c r="AZ47" i="1"/>
  <c r="AY48" i="1"/>
  <c r="AY34" i="1"/>
  <c r="AW43" i="1"/>
  <c r="AX44" i="1"/>
  <c r="AX45" i="1" s="1"/>
  <c r="AZ35" i="1"/>
  <c r="AY37" i="1"/>
  <c r="AY36" i="1"/>
  <c r="AZ29" i="1"/>
  <c r="AY31" i="1"/>
  <c r="AY30" i="1"/>
  <c r="AX38" i="1"/>
  <c r="AZ26" i="1"/>
  <c r="AY28" i="1"/>
  <c r="AY27" i="1"/>
  <c r="AZ34" i="1"/>
  <c r="AZ33" i="1"/>
  <c r="BB2" i="1"/>
  <c r="BA21" i="1"/>
  <c r="BA32" i="1" s="1"/>
  <c r="AZ48" i="1" l="1"/>
  <c r="AY44" i="1"/>
  <c r="AY45" i="1" s="1"/>
  <c r="BA46" i="1" s="1"/>
  <c r="BA47" i="1" s="1"/>
  <c r="AX39" i="1"/>
  <c r="AX42" i="1"/>
  <c r="AX43" i="1" s="1"/>
  <c r="BA33" i="1"/>
  <c r="BA34" i="1"/>
  <c r="AZ31" i="1"/>
  <c r="AZ30" i="1"/>
  <c r="AY38" i="1"/>
  <c r="AZ37" i="1"/>
  <c r="AZ36" i="1"/>
  <c r="AZ28" i="1"/>
  <c r="AZ27" i="1"/>
  <c r="BA26" i="1"/>
  <c r="BA29" i="1"/>
  <c r="BA35" i="1"/>
  <c r="BC2" i="1"/>
  <c r="BB21" i="1"/>
  <c r="BB32" i="1" s="1"/>
  <c r="BA48" i="1" l="1"/>
  <c r="AY39" i="1"/>
  <c r="AY42" i="1"/>
  <c r="AY43" i="1" s="1"/>
  <c r="AZ44" i="1"/>
  <c r="AZ45" i="1" s="1"/>
  <c r="BB46" i="1" s="1"/>
  <c r="BB47" i="1" s="1"/>
  <c r="BB34" i="1"/>
  <c r="BB33" i="1"/>
  <c r="BA31" i="1"/>
  <c r="BA30" i="1"/>
  <c r="BA36" i="1"/>
  <c r="BA37" i="1"/>
  <c r="BA28" i="1"/>
  <c r="BA27" i="1"/>
  <c r="AZ38" i="1"/>
  <c r="BB35" i="1"/>
  <c r="BB29" i="1"/>
  <c r="BB26" i="1"/>
  <c r="BD2" i="1"/>
  <c r="BC21" i="1"/>
  <c r="BC32" i="1" s="1"/>
  <c r="BB48" i="1" l="1"/>
  <c r="AZ39" i="1"/>
  <c r="AZ42" i="1"/>
  <c r="AZ43" i="1" s="1"/>
  <c r="BA44" i="1"/>
  <c r="BA45" i="1" s="1"/>
  <c r="BC46" i="1" s="1"/>
  <c r="BC47" i="1" s="1"/>
  <c r="BC34" i="1"/>
  <c r="BC33" i="1"/>
  <c r="BB28" i="1"/>
  <c r="BB27" i="1"/>
  <c r="BB30" i="1"/>
  <c r="BB31" i="1"/>
  <c r="BB36" i="1"/>
  <c r="BB37" i="1"/>
  <c r="BA38" i="1"/>
  <c r="BC26" i="1"/>
  <c r="BC29" i="1"/>
  <c r="BC35" i="1"/>
  <c r="BE2" i="1"/>
  <c r="BD21" i="1"/>
  <c r="BD32" i="1" s="1"/>
  <c r="BC48" i="1" l="1"/>
  <c r="BA39" i="1"/>
  <c r="BA42" i="1"/>
  <c r="BA43" i="1" s="1"/>
  <c r="BB44" i="1"/>
  <c r="BB45" i="1" s="1"/>
  <c r="BD46" i="1" s="1"/>
  <c r="BD47" i="1" s="1"/>
  <c r="BD34" i="1"/>
  <c r="BD33" i="1"/>
  <c r="BC37" i="1"/>
  <c r="BC36" i="1"/>
  <c r="BB38" i="1"/>
  <c r="BC28" i="1"/>
  <c r="BC27" i="1"/>
  <c r="BC30" i="1"/>
  <c r="BC31" i="1"/>
  <c r="BD35" i="1"/>
  <c r="BD29" i="1"/>
  <c r="BD26" i="1"/>
  <c r="BF2" i="1"/>
  <c r="BE21" i="1"/>
  <c r="BE32" i="1" s="1"/>
  <c r="BD48" i="1" l="1"/>
  <c r="BB39" i="1"/>
  <c r="BB42" i="1"/>
  <c r="BB43" i="1" s="1"/>
  <c r="BC44" i="1"/>
  <c r="BC45" i="1" s="1"/>
  <c r="BE46" i="1" s="1"/>
  <c r="BE47" i="1" s="1"/>
  <c r="BC38" i="1"/>
  <c r="BD28" i="1"/>
  <c r="BD27" i="1"/>
  <c r="BE33" i="1"/>
  <c r="BE34" i="1"/>
  <c r="BD31" i="1"/>
  <c r="BD30" i="1"/>
  <c r="BD37" i="1"/>
  <c r="BD36" i="1"/>
  <c r="BE26" i="1"/>
  <c r="BE35" i="1"/>
  <c r="BE29" i="1"/>
  <c r="BF21" i="1"/>
  <c r="BG2" i="1"/>
  <c r="BF1" i="1"/>
  <c r="BE48" i="1" l="1"/>
  <c r="BD44" i="1"/>
  <c r="BF32" i="1"/>
  <c r="BF33" i="1" s="1"/>
  <c r="BF40" i="1"/>
  <c r="BF41" i="1" s="1"/>
  <c r="BG41" i="1" s="1"/>
  <c r="BH41" i="1" s="1"/>
  <c r="BI41" i="1" s="1"/>
  <c r="BJ41" i="1" s="1"/>
  <c r="BK41" i="1" s="1"/>
  <c r="BL41" i="1" s="1"/>
  <c r="BD45" i="1"/>
  <c r="BF46" i="1" s="1"/>
  <c r="BF47" i="1" s="1"/>
  <c r="BC39" i="1"/>
  <c r="BC42" i="1"/>
  <c r="BC43" i="1" s="1"/>
  <c r="BD38" i="1"/>
  <c r="BE37" i="1"/>
  <c r="BE36" i="1"/>
  <c r="BG32" i="1"/>
  <c r="BF34" i="1"/>
  <c r="BE31" i="1"/>
  <c r="BE30" i="1"/>
  <c r="BE27" i="1"/>
  <c r="BE28" i="1"/>
  <c r="BF35" i="1"/>
  <c r="BF29" i="1"/>
  <c r="BF26" i="1"/>
  <c r="BH2" i="1"/>
  <c r="BG21" i="1"/>
  <c r="BG47" i="1" l="1"/>
  <c r="BF48" i="1"/>
  <c r="BE44" i="1"/>
  <c r="BE45" i="1" s="1"/>
  <c r="BD39" i="1"/>
  <c r="BD42" i="1"/>
  <c r="BD43" i="1" s="1"/>
  <c r="BG34" i="1"/>
  <c r="BG33" i="1"/>
  <c r="BG26" i="1"/>
  <c r="BF27" i="1"/>
  <c r="BF28" i="1"/>
  <c r="BG29" i="1"/>
  <c r="BF31" i="1"/>
  <c r="BF30" i="1"/>
  <c r="BG35" i="1"/>
  <c r="BF37" i="1"/>
  <c r="BF36" i="1"/>
  <c r="BE38" i="1"/>
  <c r="BE42" i="1" s="1"/>
  <c r="BI2" i="1"/>
  <c r="BH21" i="1"/>
  <c r="BH32" i="1" s="1"/>
  <c r="BE39" i="1" l="1"/>
  <c r="BG48" i="1"/>
  <c r="BF44" i="1"/>
  <c r="BF45" i="1" s="1"/>
  <c r="BH46" i="1" s="1"/>
  <c r="BH47" i="1" s="1"/>
  <c r="BE43" i="1"/>
  <c r="BH34" i="1"/>
  <c r="BH33" i="1"/>
  <c r="BG30" i="1"/>
  <c r="BG31" i="1"/>
  <c r="BF38" i="1"/>
  <c r="BG27" i="1"/>
  <c r="BG28" i="1"/>
  <c r="BG37" i="1"/>
  <c r="BG36" i="1"/>
  <c r="BH35" i="1"/>
  <c r="BH29" i="1"/>
  <c r="BH26" i="1"/>
  <c r="BJ2" i="1"/>
  <c r="BI21" i="1"/>
  <c r="BI32" i="1" s="1"/>
  <c r="BH48" i="1" l="1"/>
  <c r="BF39" i="1"/>
  <c r="BF42" i="1"/>
  <c r="BF43" i="1"/>
  <c r="BG38" i="1"/>
  <c r="BG42" i="1" s="1"/>
  <c r="BG44" i="1"/>
  <c r="BG45" i="1" s="1"/>
  <c r="BI46" i="1" s="1"/>
  <c r="BI47" i="1" s="1"/>
  <c r="BI34" i="1"/>
  <c r="BI33" i="1"/>
  <c r="BH28" i="1"/>
  <c r="BH27" i="1"/>
  <c r="BH31" i="1"/>
  <c r="BH30" i="1"/>
  <c r="BH37" i="1"/>
  <c r="BH36" i="1"/>
  <c r="BI29" i="1"/>
  <c r="BI35" i="1"/>
  <c r="BI26" i="1"/>
  <c r="BK2" i="1"/>
  <c r="BJ21" i="1"/>
  <c r="BJ32" i="1" s="1"/>
  <c r="BG39" i="1" l="1"/>
  <c r="BI48" i="1"/>
  <c r="BG43" i="1"/>
  <c r="BH44" i="1"/>
  <c r="BH45" i="1" s="1"/>
  <c r="BJ46" i="1" s="1"/>
  <c r="BJ47" i="1" s="1"/>
  <c r="BH38" i="1"/>
  <c r="BI36" i="1"/>
  <c r="BI37" i="1"/>
  <c r="BJ33" i="1"/>
  <c r="BJ34" i="1"/>
  <c r="BI28" i="1"/>
  <c r="BI27" i="1"/>
  <c r="BI31" i="1"/>
  <c r="BI30" i="1"/>
  <c r="BJ26" i="1"/>
  <c r="BJ35" i="1"/>
  <c r="BJ29" i="1"/>
  <c r="BL2" i="1"/>
  <c r="BK21" i="1"/>
  <c r="BK32" i="1" s="1"/>
  <c r="BJ48" i="1" l="1"/>
  <c r="BH39" i="1"/>
  <c r="BH42" i="1"/>
  <c r="BH43" i="1" s="1"/>
  <c r="BI38" i="1"/>
  <c r="BI44" i="1"/>
  <c r="BI45" i="1" s="1"/>
  <c r="BK46" i="1" s="1"/>
  <c r="BK47" i="1" s="1"/>
  <c r="BJ36" i="1"/>
  <c r="BJ37" i="1"/>
  <c r="BK34" i="1"/>
  <c r="BK33" i="1"/>
  <c r="BJ28" i="1"/>
  <c r="BJ27" i="1"/>
  <c r="BJ31" i="1"/>
  <c r="BJ30" i="1"/>
  <c r="BK29" i="1"/>
  <c r="BK35" i="1"/>
  <c r="BK26" i="1"/>
  <c r="BM2" i="1"/>
  <c r="BL21" i="1"/>
  <c r="BL32" i="1" s="1"/>
  <c r="BK48" i="1" l="1"/>
  <c r="BI39" i="1"/>
  <c r="BI42" i="1"/>
  <c r="BJ44" i="1"/>
  <c r="BJ45" i="1" s="1"/>
  <c r="BL46" i="1" s="1"/>
  <c r="BL47" i="1" s="1"/>
  <c r="BI43" i="1"/>
  <c r="BJ38" i="1"/>
  <c r="BL34" i="1"/>
  <c r="BL33" i="1"/>
  <c r="BK36" i="1"/>
  <c r="BK37" i="1"/>
  <c r="BK30" i="1"/>
  <c r="BK31" i="1"/>
  <c r="BK28" i="1"/>
  <c r="BK27" i="1"/>
  <c r="BL26" i="1"/>
  <c r="BL35" i="1"/>
  <c r="BL29" i="1"/>
  <c r="BM21" i="1"/>
  <c r="BN2" i="1"/>
  <c r="BM1" i="1"/>
  <c r="BL48" i="1" l="1"/>
  <c r="BM32" i="1"/>
  <c r="BM34" i="1" s="1"/>
  <c r="BM40" i="1"/>
  <c r="BM41" i="1" s="1"/>
  <c r="BN41" i="1" s="1"/>
  <c r="BO41" i="1" s="1"/>
  <c r="BP41" i="1" s="1"/>
  <c r="BQ41" i="1" s="1"/>
  <c r="BR41" i="1" s="1"/>
  <c r="BS41" i="1" s="1"/>
  <c r="BK44" i="1"/>
  <c r="BK45" i="1" s="1"/>
  <c r="BM46" i="1" s="1"/>
  <c r="BM47" i="1" s="1"/>
  <c r="BJ39" i="1"/>
  <c r="BJ42" i="1"/>
  <c r="BJ43" i="1" s="1"/>
  <c r="BN32" i="1"/>
  <c r="BM33" i="1"/>
  <c r="BL31" i="1"/>
  <c r="BL30" i="1"/>
  <c r="BL37" i="1"/>
  <c r="BL36" i="1"/>
  <c r="BL28" i="1"/>
  <c r="BL27" i="1"/>
  <c r="BK38" i="1"/>
  <c r="BM26" i="1"/>
  <c r="BM29" i="1"/>
  <c r="BM35" i="1"/>
  <c r="BO2" i="1"/>
  <c r="BN21" i="1"/>
  <c r="BN47" i="1" l="1"/>
  <c r="BM48" i="1"/>
  <c r="BL44" i="1"/>
  <c r="BL45" i="1" s="1"/>
  <c r="BK39" i="1"/>
  <c r="BK42" i="1"/>
  <c r="BK43" i="1" s="1"/>
  <c r="BN35" i="1"/>
  <c r="BM37" i="1"/>
  <c r="BM36" i="1"/>
  <c r="BN26" i="1"/>
  <c r="BM27" i="1"/>
  <c r="BM28" i="1"/>
  <c r="BN29" i="1"/>
  <c r="BM31" i="1"/>
  <c r="BM30" i="1"/>
  <c r="BL38" i="1"/>
  <c r="BN34" i="1"/>
  <c r="BN33" i="1"/>
  <c r="BP2" i="1"/>
  <c r="BO21" i="1"/>
  <c r="BO32" i="1" s="1"/>
  <c r="BN48" i="1" l="1"/>
  <c r="BM44" i="1"/>
  <c r="BM45" i="1" s="1"/>
  <c r="BO46" i="1" s="1"/>
  <c r="BO47" i="1" s="1"/>
  <c r="BL39" i="1"/>
  <c r="BL42" i="1"/>
  <c r="BL43" i="1" s="1"/>
  <c r="BO34" i="1"/>
  <c r="BO33" i="1"/>
  <c r="BN28" i="1"/>
  <c r="BN27" i="1"/>
  <c r="BN31" i="1"/>
  <c r="BN30" i="1"/>
  <c r="BM38" i="1"/>
  <c r="BM42" i="1" s="1"/>
  <c r="BN36" i="1"/>
  <c r="BN37" i="1"/>
  <c r="BO35" i="1"/>
  <c r="BO26" i="1"/>
  <c r="BO29" i="1"/>
  <c r="BQ2" i="1"/>
  <c r="BP21" i="1"/>
  <c r="BP32" i="1" s="1"/>
  <c r="BO48" i="1" l="1"/>
  <c r="BN44" i="1"/>
  <c r="BN45" i="1" s="1"/>
  <c r="BP46" i="1" s="1"/>
  <c r="BP47" i="1" s="1"/>
  <c r="BM39" i="1"/>
  <c r="BM43" i="1"/>
  <c r="BN38" i="1"/>
  <c r="BP34" i="1"/>
  <c r="BP33" i="1"/>
  <c r="BO31" i="1"/>
  <c r="BO30" i="1"/>
  <c r="BO28" i="1"/>
  <c r="BO27" i="1"/>
  <c r="BO37" i="1"/>
  <c r="BO36" i="1"/>
  <c r="BP29" i="1"/>
  <c r="BP26" i="1"/>
  <c r="BP35" i="1"/>
  <c r="BR2" i="1"/>
  <c r="BQ21" i="1"/>
  <c r="BQ32" i="1" s="1"/>
  <c r="BP48" i="1" l="1"/>
  <c r="BN39" i="1"/>
  <c r="BN42" i="1"/>
  <c r="BN43" i="1" s="1"/>
  <c r="BO44" i="1"/>
  <c r="BO45" i="1" s="1"/>
  <c r="BQ46" i="1" s="1"/>
  <c r="BQ47" i="1" s="1"/>
  <c r="BO38" i="1"/>
  <c r="BP28" i="1"/>
  <c r="BP27" i="1"/>
  <c r="BP37" i="1"/>
  <c r="BP36" i="1"/>
  <c r="BP31" i="1"/>
  <c r="BP30" i="1"/>
  <c r="BQ34" i="1"/>
  <c r="BQ33" i="1"/>
  <c r="BQ35" i="1"/>
  <c r="BQ26" i="1"/>
  <c r="BQ29" i="1"/>
  <c r="BS2" i="1"/>
  <c r="BR21" i="1"/>
  <c r="BR32" i="1" s="1"/>
  <c r="BQ48" i="1" l="1"/>
  <c r="BP44" i="1"/>
  <c r="BP45" i="1" s="1"/>
  <c r="BR46" i="1" s="1"/>
  <c r="BR47" i="1" s="1"/>
  <c r="BO39" i="1"/>
  <c r="BO42" i="1"/>
  <c r="BO43" i="1" s="1"/>
  <c r="BR34" i="1"/>
  <c r="BR33" i="1"/>
  <c r="BQ31" i="1"/>
  <c r="BQ30" i="1"/>
  <c r="BQ28" i="1"/>
  <c r="BQ27" i="1"/>
  <c r="BP38" i="1"/>
  <c r="BQ36" i="1"/>
  <c r="BQ37" i="1"/>
  <c r="BR29" i="1"/>
  <c r="BR26" i="1"/>
  <c r="BR35" i="1"/>
  <c r="BT2" i="1"/>
  <c r="BS21" i="1"/>
  <c r="BS32" i="1" s="1"/>
  <c r="BR48" i="1" l="1"/>
  <c r="BP39" i="1"/>
  <c r="BP42" i="1"/>
  <c r="BP43" i="1" s="1"/>
  <c r="BQ44" i="1"/>
  <c r="BQ45" i="1" s="1"/>
  <c r="BS46" i="1" s="1"/>
  <c r="BS47" i="1" s="1"/>
  <c r="BR28" i="1"/>
  <c r="BR27" i="1"/>
  <c r="BS33" i="1"/>
  <c r="BS34" i="1"/>
  <c r="BR36" i="1"/>
  <c r="BR37" i="1"/>
  <c r="BQ38" i="1"/>
  <c r="BR30" i="1"/>
  <c r="BR31" i="1"/>
  <c r="BS29" i="1"/>
  <c r="BS35" i="1"/>
  <c r="BS26" i="1"/>
  <c r="BT21" i="1"/>
  <c r="BT40" i="1" s="1"/>
  <c r="BT41" i="1" s="1"/>
  <c r="BU41" i="1" s="1"/>
  <c r="BV41" i="1" s="1"/>
  <c r="BW41" i="1" s="1"/>
  <c r="BX41" i="1" s="1"/>
  <c r="BY41" i="1" s="1"/>
  <c r="BZ41" i="1" s="1"/>
  <c r="BT1" i="1"/>
  <c r="BU2" i="1"/>
  <c r="BS48" i="1" l="1"/>
  <c r="BR44" i="1"/>
  <c r="BR45" i="1" s="1"/>
  <c r="BT46" i="1" s="1"/>
  <c r="BT47" i="1" s="1"/>
  <c r="BQ39" i="1"/>
  <c r="BQ42" i="1"/>
  <c r="BQ43" i="1" s="1"/>
  <c r="BS36" i="1"/>
  <c r="BS37" i="1"/>
  <c r="BS28" i="1"/>
  <c r="BS27" i="1"/>
  <c r="BS31" i="1"/>
  <c r="BS30" i="1"/>
  <c r="BR38" i="1"/>
  <c r="BT29" i="1"/>
  <c r="BT26" i="1"/>
  <c r="BT35" i="1"/>
  <c r="BT32" i="1"/>
  <c r="BV2" i="1"/>
  <c r="BU21" i="1"/>
  <c r="BU47" i="1" l="1"/>
  <c r="BT48" i="1"/>
  <c r="BR39" i="1"/>
  <c r="BR42" i="1"/>
  <c r="BR43" i="1" s="1"/>
  <c r="BS44" i="1"/>
  <c r="BS45" i="1" s="1"/>
  <c r="BS38" i="1"/>
  <c r="BU35" i="1"/>
  <c r="BT36" i="1"/>
  <c r="BT37" i="1"/>
  <c r="BU32" i="1"/>
  <c r="BT34" i="1"/>
  <c r="BT33" i="1"/>
  <c r="BU26" i="1"/>
  <c r="BT28" i="1"/>
  <c r="BT27" i="1"/>
  <c r="BU29" i="1"/>
  <c r="BT30" i="1"/>
  <c r="BT31" i="1"/>
  <c r="BW2" i="1"/>
  <c r="BV21" i="1"/>
  <c r="BU48" i="1" l="1"/>
  <c r="BT44" i="1"/>
  <c r="BT45" i="1" s="1"/>
  <c r="BV46" i="1" s="1"/>
  <c r="BV47" i="1" s="1"/>
  <c r="BS39" i="1"/>
  <c r="BS42" i="1"/>
  <c r="BS43" i="1" s="1"/>
  <c r="BV29" i="1"/>
  <c r="BV31" i="1" s="1"/>
  <c r="BU30" i="1"/>
  <c r="BU31" i="1"/>
  <c r="BU27" i="1"/>
  <c r="BU28" i="1"/>
  <c r="BU33" i="1"/>
  <c r="BU34" i="1"/>
  <c r="BT38" i="1"/>
  <c r="BU37" i="1"/>
  <c r="BU36" i="1"/>
  <c r="BV32" i="1"/>
  <c r="BV26" i="1"/>
  <c r="BV35" i="1"/>
  <c r="BX2" i="1"/>
  <c r="BW21" i="1"/>
  <c r="BV30" i="1" l="1"/>
  <c r="BW29" i="1"/>
  <c r="BW31" i="1" s="1"/>
  <c r="BV48" i="1"/>
  <c r="BT39" i="1"/>
  <c r="BT42" i="1"/>
  <c r="BT43" i="1" s="1"/>
  <c r="BU44" i="1"/>
  <c r="BU45" i="1" s="1"/>
  <c r="BW46" i="1" s="1"/>
  <c r="BW47" i="1" s="1"/>
  <c r="BV37" i="1"/>
  <c r="BV36" i="1"/>
  <c r="BU38" i="1"/>
  <c r="BW30" i="1"/>
  <c r="BV27" i="1"/>
  <c r="BV28" i="1"/>
  <c r="BV34" i="1"/>
  <c r="BV33" i="1"/>
  <c r="BW35" i="1"/>
  <c r="BW26" i="1"/>
  <c r="BW32" i="1"/>
  <c r="BY2" i="1"/>
  <c r="BX21" i="1"/>
  <c r="BX29" i="1" s="1"/>
  <c r="BW48" i="1" l="1"/>
  <c r="BV38" i="1"/>
  <c r="BV42" i="1" s="1"/>
  <c r="BV44" i="1"/>
  <c r="BV45" i="1" s="1"/>
  <c r="BX46" i="1" s="1"/>
  <c r="BX47" i="1" s="1"/>
  <c r="BU39" i="1"/>
  <c r="BV39" i="1" s="1"/>
  <c r="BU42" i="1"/>
  <c r="BU43" i="1" s="1"/>
  <c r="BX31" i="1"/>
  <c r="BX30" i="1"/>
  <c r="BW37" i="1"/>
  <c r="BW36" i="1"/>
  <c r="BW34" i="1"/>
  <c r="BW33" i="1"/>
  <c r="BW27" i="1"/>
  <c r="BW28" i="1"/>
  <c r="BX32" i="1"/>
  <c r="BX26" i="1"/>
  <c r="BX35" i="1"/>
  <c r="BZ2" i="1"/>
  <c r="BY21" i="1"/>
  <c r="BY29" i="1" s="1"/>
  <c r="BX48" i="1" l="1"/>
  <c r="BV43" i="1"/>
  <c r="BW38" i="1"/>
  <c r="BW44" i="1"/>
  <c r="BW45" i="1" s="1"/>
  <c r="BY46" i="1" s="1"/>
  <c r="BY47" i="1" s="1"/>
  <c r="BX37" i="1"/>
  <c r="BX36" i="1"/>
  <c r="BX33" i="1"/>
  <c r="BX34" i="1"/>
  <c r="BY31" i="1"/>
  <c r="BY30" i="1"/>
  <c r="BX28" i="1"/>
  <c r="BX27" i="1"/>
  <c r="BY35" i="1"/>
  <c r="BY26" i="1"/>
  <c r="BY32" i="1"/>
  <c r="CA2" i="1"/>
  <c r="BZ21" i="1"/>
  <c r="BZ29" i="1" s="1"/>
  <c r="BY48" i="1" l="1"/>
  <c r="BX38" i="1"/>
  <c r="BX44" i="1"/>
  <c r="BX45" i="1" s="1"/>
  <c r="BZ46" i="1" s="1"/>
  <c r="BZ47" i="1" s="1"/>
  <c r="BW39" i="1"/>
  <c r="BW42" i="1"/>
  <c r="BW43" i="1" s="1"/>
  <c r="BZ30" i="1"/>
  <c r="BZ31" i="1"/>
  <c r="BY34" i="1"/>
  <c r="BY33" i="1"/>
  <c r="BY28" i="1"/>
  <c r="BY27" i="1"/>
  <c r="BY37" i="1"/>
  <c r="BY36" i="1"/>
  <c r="BZ26" i="1"/>
  <c r="BZ32" i="1"/>
  <c r="BZ35" i="1"/>
  <c r="CA21" i="1"/>
  <c r="CA1" i="1"/>
  <c r="CB2" i="1"/>
  <c r="BZ48" i="1" l="1"/>
  <c r="CA29" i="1"/>
  <c r="CA40" i="1"/>
  <c r="CA41" i="1" s="1"/>
  <c r="CB41" i="1" s="1"/>
  <c r="CC41" i="1" s="1"/>
  <c r="CD41" i="1" s="1"/>
  <c r="CE41" i="1" s="1"/>
  <c r="CF41" i="1" s="1"/>
  <c r="CG41" i="1" s="1"/>
  <c r="BX39" i="1"/>
  <c r="BX42" i="1"/>
  <c r="BX43" i="1" s="1"/>
  <c r="BY44" i="1"/>
  <c r="BY45" i="1" s="1"/>
  <c r="CA46" i="1" s="1"/>
  <c r="CA47" i="1" s="1"/>
  <c r="BY38" i="1"/>
  <c r="BZ27" i="1"/>
  <c r="BZ28" i="1"/>
  <c r="CB29" i="1"/>
  <c r="CA30" i="1"/>
  <c r="CA31" i="1"/>
  <c r="BZ36" i="1"/>
  <c r="BZ37" i="1"/>
  <c r="BZ34" i="1"/>
  <c r="BZ33" i="1"/>
  <c r="CA35" i="1"/>
  <c r="CA32" i="1"/>
  <c r="CA26" i="1"/>
  <c r="CC2" i="1"/>
  <c r="CB21" i="1"/>
  <c r="CB47" i="1" l="1"/>
  <c r="CA48" i="1"/>
  <c r="BZ44" i="1"/>
  <c r="BZ45" i="1" s="1"/>
  <c r="BY39" i="1"/>
  <c r="BY42" i="1"/>
  <c r="BY43" i="1" s="1"/>
  <c r="CB31" i="1"/>
  <c r="CB30" i="1"/>
  <c r="CB32" i="1"/>
  <c r="CA34" i="1"/>
  <c r="CA33" i="1"/>
  <c r="CB26" i="1"/>
  <c r="CA28" i="1"/>
  <c r="CA27" i="1"/>
  <c r="CB35" i="1"/>
  <c r="CA36" i="1"/>
  <c r="CA37" i="1"/>
  <c r="BZ38" i="1"/>
  <c r="CD2" i="1"/>
  <c r="CC21" i="1"/>
  <c r="CC29" i="1" s="1"/>
  <c r="CB48" i="1" l="1"/>
  <c r="CA44" i="1"/>
  <c r="CA45" i="1" s="1"/>
  <c r="CC46" i="1" s="1"/>
  <c r="CC47" i="1" s="1"/>
  <c r="BZ39" i="1"/>
  <c r="BZ42" i="1"/>
  <c r="BZ43" i="1" s="1"/>
  <c r="CA38" i="1"/>
  <c r="CA42" i="1" s="1"/>
  <c r="CC31" i="1"/>
  <c r="CC30" i="1"/>
  <c r="CB28" i="1"/>
  <c r="CB27" i="1"/>
  <c r="CB34" i="1"/>
  <c r="CB33" i="1"/>
  <c r="CB36" i="1"/>
  <c r="CB37" i="1"/>
  <c r="CC35" i="1"/>
  <c r="CC32" i="1"/>
  <c r="CC26" i="1"/>
  <c r="CE2" i="1"/>
  <c r="CD21" i="1"/>
  <c r="CD29" i="1" s="1"/>
  <c r="CC48" i="1" l="1"/>
  <c r="CA43" i="1"/>
  <c r="CA39" i="1"/>
  <c r="CB44" i="1"/>
  <c r="CB45" i="1" s="1"/>
  <c r="CD46" i="1" s="1"/>
  <c r="CD47" i="1" s="1"/>
  <c r="CC28" i="1"/>
  <c r="CC27" i="1"/>
  <c r="CC33" i="1"/>
  <c r="CC34" i="1"/>
  <c r="CD31" i="1"/>
  <c r="CD30" i="1"/>
  <c r="CB38" i="1"/>
  <c r="CC36" i="1"/>
  <c r="CC37" i="1"/>
  <c r="CD26" i="1"/>
  <c r="CD32" i="1"/>
  <c r="CD35" i="1"/>
  <c r="CF2" i="1"/>
  <c r="CE21" i="1"/>
  <c r="CE29" i="1" s="1"/>
  <c r="CD48" i="1" l="1"/>
  <c r="CC44" i="1"/>
  <c r="CC45" i="1" s="1"/>
  <c r="CE46" i="1" s="1"/>
  <c r="CE47" i="1" s="1"/>
  <c r="CB39" i="1"/>
  <c r="CB42" i="1"/>
  <c r="CB43" i="1" s="1"/>
  <c r="CE31" i="1"/>
  <c r="CE30" i="1"/>
  <c r="CD28" i="1"/>
  <c r="CD27" i="1"/>
  <c r="CD37" i="1"/>
  <c r="CD36" i="1"/>
  <c r="CD34" i="1"/>
  <c r="CD33" i="1"/>
  <c r="CC38" i="1"/>
  <c r="CE35" i="1"/>
  <c r="CE32" i="1"/>
  <c r="CE26" i="1"/>
  <c r="CG2" i="1"/>
  <c r="CF21" i="1"/>
  <c r="CF29" i="1" s="1"/>
  <c r="CE48" i="1" l="1"/>
  <c r="CC39" i="1"/>
  <c r="CC42" i="1"/>
  <c r="CC43" i="1" s="1"/>
  <c r="CD44" i="1"/>
  <c r="CD45" i="1" s="1"/>
  <c r="CF46" i="1" s="1"/>
  <c r="CF47" i="1" s="1"/>
  <c r="CF31" i="1"/>
  <c r="CF30" i="1"/>
  <c r="CD38" i="1"/>
  <c r="CE37" i="1"/>
  <c r="CE36" i="1"/>
  <c r="CE27" i="1"/>
  <c r="CE28" i="1"/>
  <c r="CE34" i="1"/>
  <c r="CE33" i="1"/>
  <c r="CF26" i="1"/>
  <c r="CF32" i="1"/>
  <c r="CF35" i="1"/>
  <c r="CH2" i="1"/>
  <c r="CG21" i="1"/>
  <c r="CG29" i="1" s="1"/>
  <c r="CF48" i="1" l="1"/>
  <c r="CE38" i="1"/>
  <c r="CE42" i="1" s="1"/>
  <c r="CE44" i="1"/>
  <c r="CE45" i="1" s="1"/>
  <c r="CG46" i="1" s="1"/>
  <c r="CG47" i="1" s="1"/>
  <c r="CD39" i="1"/>
  <c r="CD42" i="1"/>
  <c r="CD43" i="1" s="1"/>
  <c r="CG31" i="1"/>
  <c r="CG30" i="1"/>
  <c r="CF34" i="1"/>
  <c r="CF33" i="1"/>
  <c r="CF37" i="1"/>
  <c r="CF36" i="1"/>
  <c r="CF28" i="1"/>
  <c r="CF27" i="1"/>
  <c r="CG32" i="1"/>
  <c r="CG35" i="1"/>
  <c r="CG26" i="1"/>
  <c r="CH21" i="1"/>
  <c r="CI2" i="1"/>
  <c r="CH1" i="1"/>
  <c r="CE43" i="1" l="1"/>
  <c r="CE39" i="1"/>
  <c r="CG48" i="1"/>
  <c r="CH29" i="1"/>
  <c r="CH40" i="1"/>
  <c r="CH41" i="1" s="1"/>
  <c r="CI41" i="1" s="1"/>
  <c r="CJ41" i="1" s="1"/>
  <c r="CK41" i="1" s="1"/>
  <c r="CL41" i="1" s="1"/>
  <c r="CM41" i="1" s="1"/>
  <c r="CN41" i="1" s="1"/>
  <c r="CF44" i="1"/>
  <c r="CF45" i="1" s="1"/>
  <c r="CH46" i="1" s="1"/>
  <c r="CH47" i="1" s="1"/>
  <c r="CG37" i="1"/>
  <c r="CG36" i="1"/>
  <c r="CG28" i="1"/>
  <c r="CG27" i="1"/>
  <c r="CG34" i="1"/>
  <c r="CG33" i="1"/>
  <c r="CI29" i="1"/>
  <c r="CH31" i="1"/>
  <c r="CH30" i="1"/>
  <c r="CF38" i="1"/>
  <c r="CH26" i="1"/>
  <c r="CH35" i="1"/>
  <c r="CH32" i="1"/>
  <c r="CJ2" i="1"/>
  <c r="CI21" i="1"/>
  <c r="CI47" i="1" l="1"/>
  <c r="CH48" i="1"/>
  <c r="CG44" i="1"/>
  <c r="CG45" i="1" s="1"/>
  <c r="CF39" i="1"/>
  <c r="CF42" i="1"/>
  <c r="CF43" i="1" s="1"/>
  <c r="CI32" i="1"/>
  <c r="CH34" i="1"/>
  <c r="CH33" i="1"/>
  <c r="CI26" i="1"/>
  <c r="CH28" i="1"/>
  <c r="CH27" i="1"/>
  <c r="CI30" i="1"/>
  <c r="CI31" i="1"/>
  <c r="CI35" i="1"/>
  <c r="CH37" i="1"/>
  <c r="CH36" i="1"/>
  <c r="CG38" i="1"/>
  <c r="CG42" i="1" s="1"/>
  <c r="CK2" i="1"/>
  <c r="CJ21" i="1"/>
  <c r="CJ29" i="1" s="1"/>
  <c r="CG39" i="1" l="1"/>
  <c r="CH44" i="1"/>
  <c r="CH45" i="1" s="1"/>
  <c r="CJ46" i="1" s="1"/>
  <c r="CJ47" i="1" s="1"/>
  <c r="CI48" i="1"/>
  <c r="CG43" i="1"/>
  <c r="CH38" i="1"/>
  <c r="CH42" i="1" s="1"/>
  <c r="CJ31" i="1"/>
  <c r="CJ30" i="1"/>
  <c r="CI27" i="1"/>
  <c r="CI28" i="1"/>
  <c r="CI36" i="1"/>
  <c r="CI37" i="1"/>
  <c r="CI34" i="1"/>
  <c r="CI33" i="1"/>
  <c r="CJ26" i="1"/>
  <c r="CJ35" i="1"/>
  <c r="CJ32" i="1"/>
  <c r="CL2" i="1"/>
  <c r="CK21" i="1"/>
  <c r="CK29" i="1" s="1"/>
  <c r="CH39" i="1" l="1"/>
  <c r="CJ48" i="1"/>
  <c r="CI44" i="1"/>
  <c r="CI45" i="1" s="1"/>
  <c r="CK46" i="1" s="1"/>
  <c r="CK47" i="1" s="1"/>
  <c r="CH43" i="1"/>
  <c r="CI38" i="1"/>
  <c r="CI42" i="1" s="1"/>
  <c r="CK31" i="1"/>
  <c r="CK30" i="1"/>
  <c r="CJ34" i="1"/>
  <c r="CJ33" i="1"/>
  <c r="CJ36" i="1"/>
  <c r="CJ37" i="1"/>
  <c r="CJ28" i="1"/>
  <c r="CJ27" i="1"/>
  <c r="CK32" i="1"/>
  <c r="CK35" i="1"/>
  <c r="CK26" i="1"/>
  <c r="CM2" i="1"/>
  <c r="CL21" i="1"/>
  <c r="CL29" i="1" s="1"/>
  <c r="CI39" i="1" l="1"/>
  <c r="CK48" i="1"/>
  <c r="CI43" i="1"/>
  <c r="CJ44" i="1"/>
  <c r="CJ45" i="1"/>
  <c r="CL46" i="1" s="1"/>
  <c r="CL47" i="1" s="1"/>
  <c r="CL31" i="1"/>
  <c r="CL30" i="1"/>
  <c r="CK28" i="1"/>
  <c r="CK27" i="1"/>
  <c r="CK36" i="1"/>
  <c r="CK37" i="1"/>
  <c r="CK34" i="1"/>
  <c r="CK33" i="1"/>
  <c r="CJ38" i="1"/>
  <c r="CL26" i="1"/>
  <c r="CL35" i="1"/>
  <c r="CL32" i="1"/>
  <c r="CN2" i="1"/>
  <c r="CM21" i="1"/>
  <c r="CM29" i="1" s="1"/>
  <c r="CL48" i="1" l="1"/>
  <c r="CK44" i="1"/>
  <c r="CJ39" i="1"/>
  <c r="CJ42" i="1"/>
  <c r="CJ43" i="1" s="1"/>
  <c r="CK45" i="1"/>
  <c r="CM46" i="1" s="1"/>
  <c r="CM47" i="1" s="1"/>
  <c r="CM30" i="1"/>
  <c r="CM31" i="1"/>
  <c r="CK38" i="1"/>
  <c r="CL33" i="1"/>
  <c r="CL34" i="1"/>
  <c r="CL36" i="1"/>
  <c r="CL37" i="1"/>
  <c r="CL28" i="1"/>
  <c r="CL27" i="1"/>
  <c r="CM32" i="1"/>
  <c r="CM35" i="1"/>
  <c r="CM26" i="1"/>
  <c r="CO2" i="1"/>
  <c r="CN21" i="1"/>
  <c r="CN29" i="1" s="1"/>
  <c r="CM48" i="1" l="1"/>
  <c r="CK39" i="1"/>
  <c r="CK42" i="1"/>
  <c r="CK43" i="1" s="1"/>
  <c r="CL44" i="1"/>
  <c r="CL45" i="1" s="1"/>
  <c r="CN46" i="1" s="1"/>
  <c r="CN47" i="1" s="1"/>
  <c r="CM37" i="1"/>
  <c r="CM36" i="1"/>
  <c r="CN31" i="1"/>
  <c r="CN30" i="1"/>
  <c r="CM27" i="1"/>
  <c r="CM28" i="1"/>
  <c r="CM34" i="1"/>
  <c r="CM33" i="1"/>
  <c r="CL38" i="1"/>
  <c r="CN26" i="1"/>
  <c r="CN35" i="1"/>
  <c r="CN32" i="1"/>
  <c r="CO21" i="1"/>
  <c r="CP2" i="1"/>
  <c r="CO1" i="1"/>
  <c r="CN48" i="1" l="1"/>
  <c r="CO29" i="1"/>
  <c r="CO31" i="1" s="1"/>
  <c r="CO40" i="1"/>
  <c r="CO41" i="1" s="1"/>
  <c r="CP41" i="1" s="1"/>
  <c r="CQ41" i="1" s="1"/>
  <c r="CR41" i="1" s="1"/>
  <c r="CS41" i="1" s="1"/>
  <c r="CT41" i="1" s="1"/>
  <c r="CU41" i="1" s="1"/>
  <c r="CL39" i="1"/>
  <c r="CL42" i="1"/>
  <c r="CL43" i="1" s="1"/>
  <c r="CM44" i="1"/>
  <c r="CM45" i="1" s="1"/>
  <c r="CO46" i="1" s="1"/>
  <c r="CO47" i="1" s="1"/>
  <c r="CM38" i="1"/>
  <c r="CM42" i="1" s="1"/>
  <c r="CP29" i="1"/>
  <c r="CN28" i="1"/>
  <c r="CN27" i="1"/>
  <c r="CN34" i="1"/>
  <c r="CN33" i="1"/>
  <c r="CN37" i="1"/>
  <c r="CN36" i="1"/>
  <c r="CO32" i="1"/>
  <c r="CO35" i="1"/>
  <c r="CO26" i="1"/>
  <c r="CQ2" i="1"/>
  <c r="CP21" i="1"/>
  <c r="CO30" i="1" l="1"/>
  <c r="CM39" i="1"/>
  <c r="CP47" i="1"/>
  <c r="CO48" i="1"/>
  <c r="CN44" i="1"/>
  <c r="CN45" i="1" s="1"/>
  <c r="CM43" i="1"/>
  <c r="CN38" i="1"/>
  <c r="CP26" i="1"/>
  <c r="CO28" i="1"/>
  <c r="CO27" i="1"/>
  <c r="CP35" i="1"/>
  <c r="CO37" i="1"/>
  <c r="CO36" i="1"/>
  <c r="CP32" i="1"/>
  <c r="CO34" i="1"/>
  <c r="CO33" i="1"/>
  <c r="CP31" i="1"/>
  <c r="CP30" i="1"/>
  <c r="CR2" i="1"/>
  <c r="CQ21" i="1"/>
  <c r="CQ29" i="1" s="1"/>
  <c r="CP48" i="1" l="1"/>
  <c r="CO44" i="1"/>
  <c r="CO45" i="1" s="1"/>
  <c r="CQ46" i="1" s="1"/>
  <c r="CQ47" i="1" s="1"/>
  <c r="CN39" i="1"/>
  <c r="CN42" i="1"/>
  <c r="CN43" i="1" s="1"/>
  <c r="CO38" i="1"/>
  <c r="CO42" i="1" s="1"/>
  <c r="CQ31" i="1"/>
  <c r="CQ30" i="1"/>
  <c r="CP37" i="1"/>
  <c r="CP36" i="1"/>
  <c r="CP34" i="1"/>
  <c r="CP33" i="1"/>
  <c r="CP27" i="1"/>
  <c r="CP28" i="1"/>
  <c r="CQ32" i="1"/>
  <c r="CQ35" i="1"/>
  <c r="CQ26" i="1"/>
  <c r="CS2" i="1"/>
  <c r="CR21" i="1"/>
  <c r="CR29" i="1" s="1"/>
  <c r="CO39" i="1" l="1"/>
  <c r="CQ48" i="1"/>
  <c r="CO43" i="1"/>
  <c r="CP44" i="1"/>
  <c r="CP45" i="1" s="1"/>
  <c r="CR46" i="1" s="1"/>
  <c r="CR47" i="1" s="1"/>
  <c r="CP38" i="1"/>
  <c r="CP42" i="1" s="1"/>
  <c r="CQ28" i="1"/>
  <c r="CQ27" i="1"/>
  <c r="CR30" i="1"/>
  <c r="CR31" i="1"/>
  <c r="CQ36" i="1"/>
  <c r="CQ37" i="1"/>
  <c r="CQ34" i="1"/>
  <c r="CQ33" i="1"/>
  <c r="CR26" i="1"/>
  <c r="CR35" i="1"/>
  <c r="CR32" i="1"/>
  <c r="CT2" i="1"/>
  <c r="CS21" i="1"/>
  <c r="CS29" i="1" s="1"/>
  <c r="CP39" i="1" l="1"/>
  <c r="CP43" i="1"/>
  <c r="CR48" i="1"/>
  <c r="CQ44" i="1"/>
  <c r="CQ45" i="1" s="1"/>
  <c r="CS46" i="1" s="1"/>
  <c r="CS47" i="1" s="1"/>
  <c r="CS31" i="1"/>
  <c r="CS30" i="1"/>
  <c r="CR34" i="1"/>
  <c r="CR33" i="1"/>
  <c r="CR37" i="1"/>
  <c r="CR36" i="1"/>
  <c r="CR28" i="1"/>
  <c r="CR27" i="1"/>
  <c r="CQ38" i="1"/>
  <c r="CS35" i="1"/>
  <c r="CS32" i="1"/>
  <c r="CS26" i="1"/>
  <c r="CU2" i="1"/>
  <c r="CT21" i="1"/>
  <c r="CT29" i="1" s="1"/>
  <c r="CS48" i="1" l="1"/>
  <c r="CQ39" i="1"/>
  <c r="CQ42" i="1"/>
  <c r="CQ43" i="1" s="1"/>
  <c r="CR38" i="1"/>
  <c r="CR42" i="1" s="1"/>
  <c r="CR44" i="1"/>
  <c r="CR45" i="1" s="1"/>
  <c r="CT46" i="1" s="1"/>
  <c r="CT47" i="1" s="1"/>
  <c r="CS34" i="1"/>
  <c r="CS33" i="1"/>
  <c r="CS36" i="1"/>
  <c r="CS37" i="1"/>
  <c r="CT31" i="1"/>
  <c r="CT30" i="1"/>
  <c r="CS28" i="1"/>
  <c r="CS27" i="1"/>
  <c r="CT26" i="1"/>
  <c r="CT32" i="1"/>
  <c r="CT35" i="1"/>
  <c r="CV2" i="1"/>
  <c r="CU21" i="1"/>
  <c r="CU29" i="1" s="1"/>
  <c r="CR39" i="1" l="1"/>
  <c r="CT48" i="1"/>
  <c r="CS38" i="1"/>
  <c r="CS42" i="1" s="1"/>
  <c r="CS44" i="1"/>
  <c r="CS45" i="1" s="1"/>
  <c r="CU46" i="1" s="1"/>
  <c r="CU47" i="1" s="1"/>
  <c r="CR43" i="1"/>
  <c r="CU31" i="1"/>
  <c r="CU30" i="1"/>
  <c r="CT36" i="1"/>
  <c r="CT37" i="1"/>
  <c r="CT34" i="1"/>
  <c r="CT33" i="1"/>
  <c r="CT28" i="1"/>
  <c r="CT27" i="1"/>
  <c r="CU35" i="1"/>
  <c r="CU32" i="1"/>
  <c r="CU26" i="1"/>
  <c r="CV21" i="1"/>
  <c r="CV1" i="1"/>
  <c r="CW2" i="1"/>
  <c r="CS43" i="1" l="1"/>
  <c r="CU48" i="1"/>
  <c r="CV29" i="1"/>
  <c r="CV31" i="1" s="1"/>
  <c r="CV40" i="1"/>
  <c r="CV41" i="1" s="1"/>
  <c r="CW41" i="1" s="1"/>
  <c r="CX41" i="1" s="1"/>
  <c r="CY41" i="1" s="1"/>
  <c r="CZ41" i="1" s="1"/>
  <c r="DA41" i="1" s="1"/>
  <c r="DB41" i="1" s="1"/>
  <c r="CS39" i="1"/>
  <c r="CT44" i="1"/>
  <c r="CT45" i="1" s="1"/>
  <c r="CV46" i="1" s="1"/>
  <c r="CV47" i="1" s="1"/>
  <c r="CT38" i="1"/>
  <c r="CT42" i="1" s="1"/>
  <c r="CT43" i="1" s="1"/>
  <c r="CW29" i="1"/>
  <c r="CU28" i="1"/>
  <c r="CU27" i="1"/>
  <c r="CU33" i="1"/>
  <c r="CU34" i="1"/>
  <c r="CU37" i="1"/>
  <c r="CU36" i="1"/>
  <c r="CV26" i="1"/>
  <c r="CV32" i="1"/>
  <c r="CV35" i="1"/>
  <c r="CX2" i="1"/>
  <c r="CW21" i="1"/>
  <c r="CV30" i="1" l="1"/>
  <c r="CT39" i="1"/>
  <c r="CW47" i="1"/>
  <c r="CV48" i="1"/>
  <c r="CU44" i="1"/>
  <c r="CU45" i="1" s="1"/>
  <c r="CW35" i="1"/>
  <c r="CV37" i="1"/>
  <c r="CV36" i="1"/>
  <c r="CW26" i="1"/>
  <c r="CV28" i="1"/>
  <c r="CV27" i="1"/>
  <c r="CU38" i="1"/>
  <c r="CW32" i="1"/>
  <c r="CV34" i="1"/>
  <c r="CV33" i="1"/>
  <c r="CW31" i="1"/>
  <c r="CW30" i="1"/>
  <c r="CY2" i="1"/>
  <c r="CX21" i="1"/>
  <c r="CX29" i="1" s="1"/>
  <c r="CW48" i="1" l="1"/>
  <c r="CU39" i="1"/>
  <c r="CU42" i="1"/>
  <c r="CU43" i="1" s="1"/>
  <c r="CV38" i="1"/>
  <c r="CV42" i="1" s="1"/>
  <c r="CV44" i="1"/>
  <c r="CV45" i="1" s="1"/>
  <c r="CX46" i="1" s="1"/>
  <c r="CX47" i="1" s="1"/>
  <c r="CX31" i="1"/>
  <c r="CX30" i="1"/>
  <c r="CW28" i="1"/>
  <c r="CW27" i="1"/>
  <c r="CW34" i="1"/>
  <c r="CW33" i="1"/>
  <c r="CW37" i="1"/>
  <c r="CW36" i="1"/>
  <c r="CX26" i="1"/>
  <c r="CX32" i="1"/>
  <c r="CX35" i="1"/>
  <c r="CZ2" i="1"/>
  <c r="CY21" i="1"/>
  <c r="CY29" i="1" s="1"/>
  <c r="CX48" i="1" l="1"/>
  <c r="CV43" i="1"/>
  <c r="CV39" i="1"/>
  <c r="CW44" i="1"/>
  <c r="CW45" i="1" s="1"/>
  <c r="CY46" i="1" s="1"/>
  <c r="CY47" i="1" s="1"/>
  <c r="CY31" i="1"/>
  <c r="CY30" i="1"/>
  <c r="CW38" i="1"/>
  <c r="CX37" i="1"/>
  <c r="CX36" i="1"/>
  <c r="CX34" i="1"/>
  <c r="CX33" i="1"/>
  <c r="CX28" i="1"/>
  <c r="CX27" i="1"/>
  <c r="CY32" i="1"/>
  <c r="CY35" i="1"/>
  <c r="CY26" i="1"/>
  <c r="DA2" i="1"/>
  <c r="CZ21" i="1"/>
  <c r="CZ29" i="1" s="1"/>
  <c r="CY48" i="1" l="1"/>
  <c r="CX44" i="1"/>
  <c r="CX45" i="1" s="1"/>
  <c r="CZ46" i="1" s="1"/>
  <c r="CZ47" i="1" s="1"/>
  <c r="CW39" i="1"/>
  <c r="CW42" i="1"/>
  <c r="CW43" i="1"/>
  <c r="CZ31" i="1"/>
  <c r="CZ30" i="1"/>
  <c r="CY36" i="1"/>
  <c r="CY37" i="1"/>
  <c r="CY27" i="1"/>
  <c r="CY28" i="1"/>
  <c r="CY34" i="1"/>
  <c r="CY33" i="1"/>
  <c r="CX38" i="1"/>
  <c r="CX42" i="1" s="1"/>
  <c r="CZ26" i="1"/>
  <c r="CZ32" i="1"/>
  <c r="CZ35" i="1"/>
  <c r="DB2" i="1"/>
  <c r="DA21" i="1"/>
  <c r="DA29" i="1" s="1"/>
  <c r="CZ48" i="1" l="1"/>
  <c r="CX43" i="1"/>
  <c r="CY38" i="1"/>
  <c r="CY42" i="1" s="1"/>
  <c r="CY44" i="1"/>
  <c r="CY45" i="1" s="1"/>
  <c r="DA46" i="1" s="1"/>
  <c r="DA47" i="1" s="1"/>
  <c r="CX39" i="1"/>
  <c r="CY39" i="1" s="1"/>
  <c r="CZ36" i="1"/>
  <c r="CZ37" i="1"/>
  <c r="CZ34" i="1"/>
  <c r="CZ33" i="1"/>
  <c r="CZ28" i="1"/>
  <c r="CZ27" i="1"/>
  <c r="DA30" i="1"/>
  <c r="DA31" i="1"/>
  <c r="DA35" i="1"/>
  <c r="DA32" i="1"/>
  <c r="DA26" i="1"/>
  <c r="DC2" i="1"/>
  <c r="DB21" i="1"/>
  <c r="DB29" i="1" s="1"/>
  <c r="DA48" i="1" l="1"/>
  <c r="CZ38" i="1"/>
  <c r="CZ42" i="1" s="1"/>
  <c r="CZ44" i="1"/>
  <c r="CZ45" i="1" s="1"/>
  <c r="DB46" i="1" s="1"/>
  <c r="DB47" i="1" s="1"/>
  <c r="CY43" i="1"/>
  <c r="DB31" i="1"/>
  <c r="DB30" i="1"/>
  <c r="DA27" i="1"/>
  <c r="DA28" i="1"/>
  <c r="DA33" i="1"/>
  <c r="DA34" i="1"/>
  <c r="DA36" i="1"/>
  <c r="DA37" i="1"/>
  <c r="CZ39" i="1"/>
  <c r="DB26" i="1"/>
  <c r="DB32" i="1"/>
  <c r="DB35" i="1"/>
  <c r="DC21" i="1"/>
  <c r="DD2" i="1"/>
  <c r="DC1" i="1"/>
  <c r="CZ43" i="1" l="1"/>
  <c r="DB48" i="1"/>
  <c r="DC29" i="1"/>
  <c r="DC31" i="1" s="1"/>
  <c r="DC40" i="1"/>
  <c r="DC41" i="1" s="1"/>
  <c r="DD41" i="1" s="1"/>
  <c r="DE41" i="1" s="1"/>
  <c r="DF41" i="1" s="1"/>
  <c r="DG41" i="1" s="1"/>
  <c r="DH41" i="1" s="1"/>
  <c r="DI41" i="1" s="1"/>
  <c r="DA44" i="1"/>
  <c r="DA45" i="1" s="1"/>
  <c r="DC46" i="1" s="1"/>
  <c r="DC47" i="1" s="1"/>
  <c r="DB36" i="1"/>
  <c r="DB37" i="1"/>
  <c r="DB34" i="1"/>
  <c r="DB33" i="1"/>
  <c r="DA38" i="1"/>
  <c r="DB28" i="1"/>
  <c r="DB27" i="1"/>
  <c r="DD29" i="1"/>
  <c r="DC35" i="1"/>
  <c r="DC32" i="1"/>
  <c r="DC26" i="1"/>
  <c r="DE2" i="1"/>
  <c r="DD21" i="1"/>
  <c r="DD47" i="1" l="1"/>
  <c r="DC48" i="1"/>
  <c r="DC30" i="1"/>
  <c r="DA39" i="1"/>
  <c r="DA42" i="1"/>
  <c r="DA43" i="1" s="1"/>
  <c r="DB38" i="1"/>
  <c r="DB42" i="1" s="1"/>
  <c r="DB44" i="1"/>
  <c r="DB45" i="1" s="1"/>
  <c r="DD30" i="1"/>
  <c r="DD31" i="1"/>
  <c r="DD32" i="1"/>
  <c r="DC34" i="1"/>
  <c r="DC33" i="1"/>
  <c r="DD26" i="1"/>
  <c r="DC28" i="1"/>
  <c r="DC27" i="1"/>
  <c r="DD35" i="1"/>
  <c r="DC37" i="1"/>
  <c r="DC36" i="1"/>
  <c r="DF2" i="1"/>
  <c r="DE21" i="1"/>
  <c r="DE29" i="1" s="1"/>
  <c r="DB39" i="1" l="1"/>
  <c r="DD48" i="1"/>
  <c r="DC44" i="1"/>
  <c r="DC45" i="1" s="1"/>
  <c r="DE46" i="1" s="1"/>
  <c r="DE47" i="1" s="1"/>
  <c r="DB43" i="1"/>
  <c r="DE31" i="1"/>
  <c r="DE30" i="1"/>
  <c r="DD37" i="1"/>
  <c r="DD36" i="1"/>
  <c r="DD28" i="1"/>
  <c r="DD27" i="1"/>
  <c r="DD33" i="1"/>
  <c r="DD34" i="1"/>
  <c r="DC38" i="1"/>
  <c r="DE35" i="1"/>
  <c r="DE32" i="1"/>
  <c r="DE26" i="1"/>
  <c r="DG2" i="1"/>
  <c r="DF21" i="1"/>
  <c r="DF29" i="1" s="1"/>
  <c r="DE48" i="1" l="1"/>
  <c r="DC39" i="1"/>
  <c r="DC42" i="1"/>
  <c r="DC43" i="1" s="1"/>
  <c r="DD44" i="1"/>
  <c r="DD45" i="1" s="1"/>
  <c r="DF46" i="1" s="1"/>
  <c r="DF47" i="1" s="1"/>
  <c r="DD38" i="1"/>
  <c r="DD42" i="1" s="1"/>
  <c r="DF30" i="1"/>
  <c r="DF31" i="1"/>
  <c r="DE34" i="1"/>
  <c r="DE33" i="1"/>
  <c r="DE36" i="1"/>
  <c r="DE37" i="1"/>
  <c r="DE28" i="1"/>
  <c r="DE27" i="1"/>
  <c r="DF26" i="1"/>
  <c r="DF32" i="1"/>
  <c r="DF35" i="1"/>
  <c r="DH2" i="1"/>
  <c r="DG21" i="1"/>
  <c r="DG29" i="1" s="1"/>
  <c r="DD39" i="1" l="1"/>
  <c r="DF48" i="1"/>
  <c r="DE44" i="1"/>
  <c r="DE45" i="1" s="1"/>
  <c r="DG46" i="1" s="1"/>
  <c r="DG47" i="1" s="1"/>
  <c r="DD43" i="1"/>
  <c r="DE38" i="1"/>
  <c r="DE42" i="1" s="1"/>
  <c r="DF37" i="1"/>
  <c r="DF36" i="1"/>
  <c r="DG31" i="1"/>
  <c r="DG30" i="1"/>
  <c r="DF34" i="1"/>
  <c r="DF33" i="1"/>
  <c r="DF27" i="1"/>
  <c r="DF28" i="1"/>
  <c r="DG35" i="1"/>
  <c r="DG32" i="1"/>
  <c r="DG26" i="1"/>
  <c r="DI2" i="1"/>
  <c r="DH21" i="1"/>
  <c r="DH29" i="1" s="1"/>
  <c r="DE39" i="1" l="1"/>
  <c r="DG48" i="1"/>
  <c r="DF44" i="1"/>
  <c r="DF45" i="1" s="1"/>
  <c r="DH46" i="1" s="1"/>
  <c r="DH47" i="1" s="1"/>
  <c r="DE43" i="1"/>
  <c r="DF38" i="1"/>
  <c r="DF42" i="1" s="1"/>
  <c r="DG34" i="1"/>
  <c r="DG33" i="1"/>
  <c r="DH31" i="1"/>
  <c r="DH30" i="1"/>
  <c r="DG28" i="1"/>
  <c r="DG27" i="1"/>
  <c r="DG36" i="1"/>
  <c r="DG37" i="1"/>
  <c r="DH26" i="1"/>
  <c r="DH32" i="1"/>
  <c r="DH35" i="1"/>
  <c r="DJ2" i="1"/>
  <c r="DI21" i="1"/>
  <c r="DI29" i="1" s="1"/>
  <c r="DH48" i="1" l="1"/>
  <c r="DF39" i="1"/>
  <c r="DF43" i="1"/>
  <c r="DG44" i="1"/>
  <c r="DG45" i="1" s="1"/>
  <c r="DI46" i="1" s="1"/>
  <c r="DI47" i="1" s="1"/>
  <c r="DG38" i="1"/>
  <c r="DG42" i="1" s="1"/>
  <c r="DH34" i="1"/>
  <c r="DH33" i="1"/>
  <c r="DH37" i="1"/>
  <c r="DH36" i="1"/>
  <c r="DI31" i="1"/>
  <c r="DI30" i="1"/>
  <c r="DH28" i="1"/>
  <c r="DH27" i="1"/>
  <c r="DI35" i="1"/>
  <c r="DI32" i="1"/>
  <c r="DI26" i="1"/>
  <c r="DJ21" i="1"/>
  <c r="DK2" i="1"/>
  <c r="DJ1" i="1"/>
  <c r="DG39" i="1" l="1"/>
  <c r="DI48" i="1"/>
  <c r="DJ29" i="1"/>
  <c r="DK29" i="1" s="1"/>
  <c r="DJ40" i="1"/>
  <c r="DJ41" i="1" s="1"/>
  <c r="DK41" i="1" s="1"/>
  <c r="DL41" i="1" s="1"/>
  <c r="DM41" i="1" s="1"/>
  <c r="DN41" i="1" s="1"/>
  <c r="DO41" i="1" s="1"/>
  <c r="DP41" i="1" s="1"/>
  <c r="DH44" i="1"/>
  <c r="DH45" i="1" s="1"/>
  <c r="DJ46" i="1" s="1"/>
  <c r="DJ47" i="1" s="1"/>
  <c r="DG43" i="1"/>
  <c r="DI27" i="1"/>
  <c r="DI28" i="1"/>
  <c r="DI33" i="1"/>
  <c r="DI34" i="1"/>
  <c r="DI37" i="1"/>
  <c r="DI36" i="1"/>
  <c r="DH38" i="1"/>
  <c r="DJ26" i="1"/>
  <c r="DJ32" i="1"/>
  <c r="DJ35" i="1"/>
  <c r="DL2" i="1"/>
  <c r="DK21" i="1"/>
  <c r="DJ30" i="1" l="1"/>
  <c r="DJ31" i="1"/>
  <c r="DK47" i="1"/>
  <c r="DJ48" i="1"/>
  <c r="DI44" i="1"/>
  <c r="DI45" i="1" s="1"/>
  <c r="DH39" i="1"/>
  <c r="DH42" i="1"/>
  <c r="DH43" i="1" s="1"/>
  <c r="DK32" i="1"/>
  <c r="DJ33" i="1"/>
  <c r="DJ34" i="1"/>
  <c r="DK35" i="1"/>
  <c r="DJ37" i="1"/>
  <c r="DJ36" i="1"/>
  <c r="DK26" i="1"/>
  <c r="DJ27" i="1"/>
  <c r="DJ28" i="1"/>
  <c r="DK31" i="1"/>
  <c r="DK30" i="1"/>
  <c r="DI38" i="1"/>
  <c r="DM2" i="1"/>
  <c r="DL21" i="1"/>
  <c r="DL29" i="1" s="1"/>
  <c r="DK48" i="1" l="1"/>
  <c r="DJ44" i="1"/>
  <c r="DJ45" i="1" s="1"/>
  <c r="DL46" i="1" s="1"/>
  <c r="DL47" i="1" s="1"/>
  <c r="DI39" i="1"/>
  <c r="DI42" i="1"/>
  <c r="DI43" i="1" s="1"/>
  <c r="DL31" i="1"/>
  <c r="DL30" i="1"/>
  <c r="DK28" i="1"/>
  <c r="DK27" i="1"/>
  <c r="DK37" i="1"/>
  <c r="DK36" i="1"/>
  <c r="DK34" i="1"/>
  <c r="DK33" i="1"/>
  <c r="DJ38" i="1"/>
  <c r="DL26" i="1"/>
  <c r="DL32" i="1"/>
  <c r="DL35" i="1"/>
  <c r="DN2" i="1"/>
  <c r="DM21" i="1"/>
  <c r="DM29" i="1" s="1"/>
  <c r="DL48" i="1" l="1"/>
  <c r="DJ39" i="1"/>
  <c r="DJ42" i="1"/>
  <c r="DJ43" i="1" s="1"/>
  <c r="DK44" i="1"/>
  <c r="DK45" i="1" s="1"/>
  <c r="DM46" i="1" s="1"/>
  <c r="DM47" i="1" s="1"/>
  <c r="DM31" i="1"/>
  <c r="DM30" i="1"/>
  <c r="DL28" i="1"/>
  <c r="DL27" i="1"/>
  <c r="DL34" i="1"/>
  <c r="DL33" i="1"/>
  <c r="DL37" i="1"/>
  <c r="DL36" i="1"/>
  <c r="DK38" i="1"/>
  <c r="DM35" i="1"/>
  <c r="DM32" i="1"/>
  <c r="DM26" i="1"/>
  <c r="DO2" i="1"/>
  <c r="DN21" i="1"/>
  <c r="DN29" i="1" s="1"/>
  <c r="DM48" i="1" l="1"/>
  <c r="DK39" i="1"/>
  <c r="DK42" i="1"/>
  <c r="DK43" i="1" s="1"/>
  <c r="DL44" i="1"/>
  <c r="DL45" i="1" s="1"/>
  <c r="DN46" i="1" s="1"/>
  <c r="DN47" i="1" s="1"/>
  <c r="DL38" i="1"/>
  <c r="DN31" i="1"/>
  <c r="DN30" i="1"/>
  <c r="DM28" i="1"/>
  <c r="DM27" i="1"/>
  <c r="DM33" i="1"/>
  <c r="DM34" i="1"/>
  <c r="DM36" i="1"/>
  <c r="DM37" i="1"/>
  <c r="DN26" i="1"/>
  <c r="DN32" i="1"/>
  <c r="DN35" i="1"/>
  <c r="DP2" i="1"/>
  <c r="DO21" i="1"/>
  <c r="DO29" i="1" s="1"/>
  <c r="DN48" i="1" l="1"/>
  <c r="DL39" i="1"/>
  <c r="DL42" i="1"/>
  <c r="DL43" i="1" s="1"/>
  <c r="DM44" i="1"/>
  <c r="DM45" i="1" s="1"/>
  <c r="DO46" i="1" s="1"/>
  <c r="DO47" i="1" s="1"/>
  <c r="DO31" i="1"/>
  <c r="DO30" i="1"/>
  <c r="DN28" i="1"/>
  <c r="DN27" i="1"/>
  <c r="DN37" i="1"/>
  <c r="DN36" i="1"/>
  <c r="DM38" i="1"/>
  <c r="DN33" i="1"/>
  <c r="DN34" i="1"/>
  <c r="DO35" i="1"/>
  <c r="DO32" i="1"/>
  <c r="DO26" i="1"/>
  <c r="DQ2" i="1"/>
  <c r="DP21" i="1"/>
  <c r="DP29" i="1" s="1"/>
  <c r="DO48" i="1" l="1"/>
  <c r="DM39" i="1"/>
  <c r="DM42" i="1"/>
  <c r="DM43" i="1" s="1"/>
  <c r="DN44" i="1"/>
  <c r="DN45" i="1" s="1"/>
  <c r="DP46" i="1" s="1"/>
  <c r="DP47" i="1" s="1"/>
  <c r="DP31" i="1"/>
  <c r="DP30" i="1"/>
  <c r="DO27" i="1"/>
  <c r="DO28" i="1"/>
  <c r="DN38" i="1"/>
  <c r="DO34" i="1"/>
  <c r="DO33" i="1"/>
  <c r="DO36" i="1"/>
  <c r="DO37" i="1"/>
  <c r="DP26" i="1"/>
  <c r="DP32" i="1"/>
  <c r="DP35" i="1"/>
  <c r="DQ21" i="1"/>
  <c r="DR2" i="1"/>
  <c r="DQ1" i="1"/>
  <c r="DP48" i="1" l="1"/>
  <c r="DQ29" i="1"/>
  <c r="DR29" i="1" s="1"/>
  <c r="DQ40" i="1"/>
  <c r="DQ41" i="1" s="1"/>
  <c r="DR41" i="1" s="1"/>
  <c r="DS41" i="1" s="1"/>
  <c r="DT41" i="1" s="1"/>
  <c r="DU41" i="1" s="1"/>
  <c r="DV41" i="1" s="1"/>
  <c r="DW41" i="1" s="1"/>
  <c r="DO44" i="1"/>
  <c r="DO45" i="1" s="1"/>
  <c r="DQ46" i="1" s="1"/>
  <c r="DQ47" i="1" s="1"/>
  <c r="DN39" i="1"/>
  <c r="DN42" i="1"/>
  <c r="DN43" i="1" s="1"/>
  <c r="DP36" i="1"/>
  <c r="DP37" i="1"/>
  <c r="DO38" i="1"/>
  <c r="DQ31" i="1"/>
  <c r="DQ30" i="1"/>
  <c r="DP34" i="1"/>
  <c r="DP33" i="1"/>
  <c r="DP28" i="1"/>
  <c r="DP27" i="1"/>
  <c r="DQ35" i="1"/>
  <c r="DQ32" i="1"/>
  <c r="DQ26" i="1"/>
  <c r="DS2" i="1"/>
  <c r="DR21" i="1"/>
  <c r="DR47" i="1" l="1"/>
  <c r="DQ48" i="1"/>
  <c r="DP44" i="1"/>
  <c r="DP45" i="1" s="1"/>
  <c r="DO39" i="1"/>
  <c r="DO42" i="1"/>
  <c r="DO43" i="1" s="1"/>
  <c r="DP38" i="1"/>
  <c r="DR32" i="1"/>
  <c r="DQ33" i="1"/>
  <c r="DQ34" i="1"/>
  <c r="DR31" i="1"/>
  <c r="DR30" i="1"/>
  <c r="DR26" i="1"/>
  <c r="DQ27" i="1"/>
  <c r="DQ28" i="1"/>
  <c r="DR35" i="1"/>
  <c r="DQ37" i="1"/>
  <c r="DQ36" i="1"/>
  <c r="DT2" i="1"/>
  <c r="DS21" i="1"/>
  <c r="DS29" i="1" s="1"/>
  <c r="DR48" i="1" l="1"/>
  <c r="DP39" i="1"/>
  <c r="DP42" i="1"/>
  <c r="DP43" i="1" s="1"/>
  <c r="DQ44" i="1"/>
  <c r="DQ45" i="1" s="1"/>
  <c r="DS46" i="1" s="1"/>
  <c r="DS47" i="1" s="1"/>
  <c r="DQ38" i="1"/>
  <c r="DR27" i="1"/>
  <c r="DR28" i="1"/>
  <c r="DS31" i="1"/>
  <c r="DS30" i="1"/>
  <c r="DR37" i="1"/>
  <c r="DR36" i="1"/>
  <c r="DR33" i="1"/>
  <c r="DR34" i="1"/>
  <c r="DS35" i="1"/>
  <c r="DS32" i="1"/>
  <c r="DS26" i="1"/>
  <c r="DU2" i="1"/>
  <c r="DT21" i="1"/>
  <c r="DT29" i="1" s="1"/>
  <c r="DS48" i="1" l="1"/>
  <c r="DR44" i="1"/>
  <c r="DQ39" i="1"/>
  <c r="DQ42" i="1"/>
  <c r="DQ43" i="1" s="1"/>
  <c r="DR45" i="1"/>
  <c r="DT46" i="1" s="1"/>
  <c r="DT47" i="1" s="1"/>
  <c r="DT31" i="1"/>
  <c r="DT30" i="1"/>
  <c r="DS37" i="1"/>
  <c r="DS36" i="1"/>
  <c r="DS28" i="1"/>
  <c r="DS27" i="1"/>
  <c r="DS34" i="1"/>
  <c r="DS33" i="1"/>
  <c r="DR38" i="1"/>
  <c r="DT26" i="1"/>
  <c r="DT32" i="1"/>
  <c r="DT35" i="1"/>
  <c r="DV2" i="1"/>
  <c r="DU21" i="1"/>
  <c r="DU29" i="1" s="1"/>
  <c r="DT48" i="1" l="1"/>
  <c r="DR39" i="1"/>
  <c r="DR42" i="1"/>
  <c r="DR43" i="1" s="1"/>
  <c r="DS44" i="1"/>
  <c r="DS45" i="1" s="1"/>
  <c r="DU46" i="1" s="1"/>
  <c r="DU47" i="1" s="1"/>
  <c r="DS38" i="1"/>
  <c r="DS42" i="1" s="1"/>
  <c r="DU31" i="1"/>
  <c r="DU30" i="1"/>
  <c r="DT37" i="1"/>
  <c r="DT36" i="1"/>
  <c r="DT28" i="1"/>
  <c r="DT27" i="1"/>
  <c r="DT34" i="1"/>
  <c r="DT33" i="1"/>
  <c r="DU35" i="1"/>
  <c r="DU32" i="1"/>
  <c r="DU26" i="1"/>
  <c r="DW2" i="1"/>
  <c r="DV21" i="1"/>
  <c r="DV29" i="1" s="1"/>
  <c r="DS39" i="1" l="1"/>
  <c r="DU48" i="1"/>
  <c r="DS43" i="1"/>
  <c r="DT44" i="1"/>
  <c r="DT45" i="1" s="1"/>
  <c r="DV46" i="1" s="1"/>
  <c r="DV47" i="1" s="1"/>
  <c r="DT38" i="1"/>
  <c r="DT42" i="1" s="1"/>
  <c r="DU34" i="1"/>
  <c r="DU33" i="1"/>
  <c r="DV31" i="1"/>
  <c r="DV30" i="1"/>
  <c r="DU28" i="1"/>
  <c r="DU27" i="1"/>
  <c r="DU37" i="1"/>
  <c r="DU36" i="1"/>
  <c r="DV26" i="1"/>
  <c r="DV32" i="1"/>
  <c r="DV35" i="1"/>
  <c r="DX2" i="1"/>
  <c r="DW21" i="1"/>
  <c r="DT39" i="1" l="1"/>
  <c r="DT43" i="1"/>
  <c r="DV48" i="1"/>
  <c r="DW29" i="1"/>
  <c r="DW31" i="1" s="1"/>
  <c r="DW26" i="1"/>
  <c r="DU44" i="1"/>
  <c r="DU45" i="1" s="1"/>
  <c r="DW46" i="1" s="1"/>
  <c r="DW47" i="1" s="1"/>
  <c r="DU38" i="1"/>
  <c r="DU42" i="1" s="1"/>
  <c r="DW30" i="1"/>
  <c r="DV33" i="1"/>
  <c r="DV34" i="1"/>
  <c r="DV36" i="1"/>
  <c r="DV37" i="1"/>
  <c r="DV28" i="1"/>
  <c r="DV27" i="1"/>
  <c r="DW35" i="1"/>
  <c r="DW32" i="1"/>
  <c r="DX1" i="1"/>
  <c r="DX21" i="1"/>
  <c r="DU43" i="1" l="1"/>
  <c r="DU39" i="1"/>
  <c r="DW48" i="1"/>
  <c r="DW28" i="1"/>
  <c r="DW27" i="1"/>
  <c r="DX29" i="1"/>
  <c r="DX30" i="1" s="1"/>
  <c r="DX40" i="1"/>
  <c r="DX41" i="1" s="1"/>
  <c r="DV44" i="1"/>
  <c r="DV45" i="1" s="1"/>
  <c r="DX46" i="1" s="1"/>
  <c r="DX47" i="1" s="1"/>
  <c r="DV38" i="1"/>
  <c r="DV42" i="1" s="1"/>
  <c r="DV43" i="1" s="1"/>
  <c r="DW33" i="1"/>
  <c r="DW34" i="1"/>
  <c r="DW36" i="1"/>
  <c r="DW37" i="1"/>
  <c r="DX26" i="1"/>
  <c r="DX32" i="1"/>
  <c r="DX35" i="1"/>
  <c r="DX48" i="1" l="1"/>
  <c r="DX31" i="1"/>
  <c r="DW44" i="1"/>
  <c r="DW45" i="1" s="1"/>
  <c r="DV39" i="1"/>
  <c r="DW38" i="1"/>
  <c r="DW42" i="1" s="1"/>
  <c r="DW43" i="1" s="1"/>
  <c r="DX28" i="1"/>
  <c r="DX27" i="1"/>
  <c r="DX37" i="1"/>
  <c r="DX36" i="1"/>
  <c r="DX34" i="1"/>
  <c r="DX33" i="1"/>
  <c r="DW39" i="1" l="1"/>
  <c r="DX44" i="1"/>
  <c r="DX45" i="1" s="1"/>
  <c r="DX38" i="1"/>
  <c r="DX39" i="1" l="1"/>
  <c r="DX42" i="1"/>
  <c r="DX43" i="1" s="1"/>
</calcChain>
</file>

<file path=xl/sharedStrings.xml><?xml version="1.0" encoding="utf-8"?>
<sst xmlns="http://schemas.openxmlformats.org/spreadsheetml/2006/main" count="184" uniqueCount="42">
  <si>
    <t>CTB</t>
  </si>
  <si>
    <t>Date</t>
  </si>
  <si>
    <t>Sun</t>
  </si>
  <si>
    <t>Mon</t>
  </si>
  <si>
    <t>Tue</t>
  </si>
  <si>
    <t>Wed</t>
  </si>
  <si>
    <t>Thu</t>
  </si>
  <si>
    <t>Fri</t>
  </si>
  <si>
    <t>Sat</t>
  </si>
  <si>
    <t>Daily</t>
  </si>
  <si>
    <t>Cum</t>
  </si>
  <si>
    <t>Forecast</t>
  </si>
  <si>
    <t>Weekly</t>
  </si>
  <si>
    <t>Capacity</t>
  </si>
  <si>
    <t>UPH</t>
  </si>
  <si>
    <t>Line 1 Day</t>
  </si>
  <si>
    <t>UPH Curve</t>
  </si>
  <si>
    <t>Yield Curve</t>
  </si>
  <si>
    <t>Line 2 Day</t>
  </si>
  <si>
    <t>Line 2 Night</t>
  </si>
  <si>
    <t>Daily Capacity</t>
  </si>
  <si>
    <t>Day</t>
  </si>
  <si>
    <t>Shift Start</t>
  </si>
  <si>
    <t>Line 1 Night</t>
  </si>
  <si>
    <t>Target</t>
  </si>
  <si>
    <t>Curve</t>
  </si>
  <si>
    <t>Cum Capacity</t>
  </si>
  <si>
    <t>Weekly Forecast</t>
  </si>
  <si>
    <t>Cum Forecast</t>
  </si>
  <si>
    <t>Daily Input</t>
  </si>
  <si>
    <t>Cum Input</t>
  </si>
  <si>
    <t>Daily Output</t>
  </si>
  <si>
    <t>Cum Output</t>
  </si>
  <si>
    <t>Daily Ship</t>
  </si>
  <si>
    <t>Cum Ship</t>
  </si>
  <si>
    <t>Ship vs Forecast</t>
  </si>
  <si>
    <t>Input by shift</t>
  </si>
  <si>
    <t>Output by shift</t>
  </si>
  <si>
    <t>Input Total</t>
  </si>
  <si>
    <t>Output Total</t>
  </si>
  <si>
    <t>Working Hr - Day</t>
  </si>
  <si>
    <t>Working Hr -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</si>
</sst>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"/>
    <numFmt numFmtId="165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 tint="-0.34998626667073579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0" fillId="0" borderId="0" xfId="1" applyNumberFormat="1" applyFont="1" applyAlignment="1"/>
    <xf numFmtId="165" fontId="0" fillId="0" borderId="0" xfId="1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16" fontId="3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06056-625A-1146-8143-E33E441059CF}">
  <dimension ref="B1:EA60"/>
  <sheetViews>
    <sheetView tabSelected="1" topLeftCell="A15" workbookViewId="0">
      <pane xSplit="2" ySplit="8" topLeftCell="DF27" activePane="bottomRight" state="frozen"/>
      <selection activeCell="A15" sqref="A15"/>
      <selection pane="topRight" activeCell="C15" sqref="C15"/>
      <selection pane="bottomLeft" activeCell="A23" sqref="A23"/>
      <selection pane="bottomRight" activeCell="DP29" sqref="DP29"/>
    </sheetView>
  </sheetViews>
  <sheetFormatPr baseColWidth="10" defaultRowHeight="16" x14ac:dyDescent="0.2"/>
  <cols>
    <col min="1" max="1" width="3.1640625" style="1" customWidth="1"/>
    <col min="2" max="2" width="15.33203125" style="1" customWidth="1"/>
    <col min="3" max="16384" width="10.83203125" style="1"/>
  </cols>
  <sheetData>
    <row r="1" spans="2:131" x14ac:dyDescent="0.2">
      <c r="B1" s="1" t="s">
        <v>0</v>
      </c>
      <c r="I1" s="2">
        <f>I2</f>
        <v>46270</v>
      </c>
      <c r="P1" s="2">
        <f>P2</f>
        <v>46277</v>
      </c>
      <c r="W1" s="2">
        <f>W2</f>
        <v>46284</v>
      </c>
      <c r="AD1" s="2">
        <f>AD2</f>
        <v>46291</v>
      </c>
      <c r="AK1" s="2">
        <f>AK2</f>
        <v>46298</v>
      </c>
      <c r="AR1" s="2">
        <f>AR2</f>
        <v>46305</v>
      </c>
      <c r="AY1" s="2">
        <f>AY2</f>
        <v>46312</v>
      </c>
      <c r="BF1" s="2">
        <f>BF2</f>
        <v>46319</v>
      </c>
      <c r="BM1" s="2">
        <f>BM2</f>
        <v>46326</v>
      </c>
      <c r="BT1" s="2">
        <f>BT2</f>
        <v>46333</v>
      </c>
      <c r="CA1" s="2">
        <f>CA2</f>
        <v>46340</v>
      </c>
      <c r="CH1" s="2">
        <f>CH2</f>
        <v>46347</v>
      </c>
      <c r="CO1" s="2">
        <f>CO2</f>
        <v>46354</v>
      </c>
      <c r="CV1" s="2">
        <f>CV2</f>
        <v>46361</v>
      </c>
      <c r="DC1" s="2">
        <f>DC2</f>
        <v>46368</v>
      </c>
      <c r="DJ1" s="2">
        <f>DJ2</f>
        <v>46375</v>
      </c>
      <c r="DQ1" s="2">
        <f>DQ2</f>
        <v>46382</v>
      </c>
      <c r="DX1" s="2">
        <f>DX2</f>
        <v>46389</v>
      </c>
    </row>
    <row r="2" spans="2:131" x14ac:dyDescent="0.2">
      <c r="B2" s="24" t="s">
        <v>1</v>
      </c>
      <c r="C2" s="3">
        <v>46264</v>
      </c>
      <c r="D2" s="3">
        <f>C2+1</f>
        <v>46265</v>
      </c>
      <c r="E2" s="3">
        <f t="shared" ref="E2:BP2" si="0">D2+1</f>
        <v>46266</v>
      </c>
      <c r="F2" s="3">
        <f t="shared" si="0"/>
        <v>46267</v>
      </c>
      <c r="G2" s="3">
        <f t="shared" si="0"/>
        <v>46268</v>
      </c>
      <c r="H2" s="3">
        <f t="shared" si="0"/>
        <v>46269</v>
      </c>
      <c r="I2" s="3">
        <f t="shared" si="0"/>
        <v>46270</v>
      </c>
      <c r="J2" s="3">
        <f t="shared" si="0"/>
        <v>46271</v>
      </c>
      <c r="K2" s="3">
        <f t="shared" si="0"/>
        <v>46272</v>
      </c>
      <c r="L2" s="3">
        <f t="shared" si="0"/>
        <v>46273</v>
      </c>
      <c r="M2" s="3">
        <f t="shared" si="0"/>
        <v>46274</v>
      </c>
      <c r="N2" s="3">
        <f t="shared" si="0"/>
        <v>46275</v>
      </c>
      <c r="O2" s="3">
        <f t="shared" si="0"/>
        <v>46276</v>
      </c>
      <c r="P2" s="3">
        <f t="shared" si="0"/>
        <v>46277</v>
      </c>
      <c r="Q2" s="3">
        <f t="shared" si="0"/>
        <v>46278</v>
      </c>
      <c r="R2" s="3">
        <f t="shared" si="0"/>
        <v>46279</v>
      </c>
      <c r="S2" s="3">
        <f t="shared" si="0"/>
        <v>46280</v>
      </c>
      <c r="T2" s="3">
        <f t="shared" si="0"/>
        <v>46281</v>
      </c>
      <c r="U2" s="3">
        <f t="shared" si="0"/>
        <v>46282</v>
      </c>
      <c r="V2" s="3">
        <f t="shared" si="0"/>
        <v>46283</v>
      </c>
      <c r="W2" s="3">
        <f t="shared" si="0"/>
        <v>46284</v>
      </c>
      <c r="X2" s="3">
        <f t="shared" si="0"/>
        <v>46285</v>
      </c>
      <c r="Y2" s="3">
        <f t="shared" si="0"/>
        <v>46286</v>
      </c>
      <c r="Z2" s="3">
        <f t="shared" si="0"/>
        <v>46287</v>
      </c>
      <c r="AA2" s="3">
        <f t="shared" si="0"/>
        <v>46288</v>
      </c>
      <c r="AB2" s="3">
        <f t="shared" si="0"/>
        <v>46289</v>
      </c>
      <c r="AC2" s="3">
        <f t="shared" si="0"/>
        <v>46290</v>
      </c>
      <c r="AD2" s="3">
        <f t="shared" si="0"/>
        <v>46291</v>
      </c>
      <c r="AE2" s="3">
        <f t="shared" si="0"/>
        <v>46292</v>
      </c>
      <c r="AF2" s="3">
        <f t="shared" si="0"/>
        <v>46293</v>
      </c>
      <c r="AG2" s="3">
        <f t="shared" si="0"/>
        <v>46294</v>
      </c>
      <c r="AH2" s="3">
        <f t="shared" si="0"/>
        <v>46295</v>
      </c>
      <c r="AI2" s="3">
        <f t="shared" si="0"/>
        <v>46296</v>
      </c>
      <c r="AJ2" s="3">
        <f t="shared" si="0"/>
        <v>46297</v>
      </c>
      <c r="AK2" s="3">
        <f t="shared" si="0"/>
        <v>46298</v>
      </c>
      <c r="AL2" s="3">
        <f t="shared" si="0"/>
        <v>46299</v>
      </c>
      <c r="AM2" s="3">
        <f t="shared" si="0"/>
        <v>46300</v>
      </c>
      <c r="AN2" s="3">
        <f t="shared" si="0"/>
        <v>46301</v>
      </c>
      <c r="AO2" s="3">
        <f t="shared" si="0"/>
        <v>46302</v>
      </c>
      <c r="AP2" s="3">
        <f t="shared" si="0"/>
        <v>46303</v>
      </c>
      <c r="AQ2" s="3">
        <f t="shared" si="0"/>
        <v>46304</v>
      </c>
      <c r="AR2" s="3">
        <f t="shared" si="0"/>
        <v>46305</v>
      </c>
      <c r="AS2" s="3">
        <f t="shared" si="0"/>
        <v>46306</v>
      </c>
      <c r="AT2" s="3">
        <f t="shared" si="0"/>
        <v>46307</v>
      </c>
      <c r="AU2" s="3">
        <f t="shared" si="0"/>
        <v>46308</v>
      </c>
      <c r="AV2" s="3">
        <f t="shared" si="0"/>
        <v>46309</v>
      </c>
      <c r="AW2" s="3">
        <f t="shared" si="0"/>
        <v>46310</v>
      </c>
      <c r="AX2" s="3">
        <f t="shared" si="0"/>
        <v>46311</v>
      </c>
      <c r="AY2" s="3">
        <f t="shared" si="0"/>
        <v>46312</v>
      </c>
      <c r="AZ2" s="3">
        <f t="shared" si="0"/>
        <v>46313</v>
      </c>
      <c r="BA2" s="3">
        <f t="shared" si="0"/>
        <v>46314</v>
      </c>
      <c r="BB2" s="3">
        <f t="shared" si="0"/>
        <v>46315</v>
      </c>
      <c r="BC2" s="3">
        <f t="shared" si="0"/>
        <v>46316</v>
      </c>
      <c r="BD2" s="3">
        <f t="shared" si="0"/>
        <v>46317</v>
      </c>
      <c r="BE2" s="3">
        <f t="shared" si="0"/>
        <v>46318</v>
      </c>
      <c r="BF2" s="3">
        <f t="shared" si="0"/>
        <v>46319</v>
      </c>
      <c r="BG2" s="3">
        <f t="shared" si="0"/>
        <v>46320</v>
      </c>
      <c r="BH2" s="3">
        <f t="shared" si="0"/>
        <v>46321</v>
      </c>
      <c r="BI2" s="3">
        <f t="shared" si="0"/>
        <v>46322</v>
      </c>
      <c r="BJ2" s="3">
        <f t="shared" si="0"/>
        <v>46323</v>
      </c>
      <c r="BK2" s="3">
        <f t="shared" si="0"/>
        <v>46324</v>
      </c>
      <c r="BL2" s="3">
        <f t="shared" si="0"/>
        <v>46325</v>
      </c>
      <c r="BM2" s="3">
        <f t="shared" si="0"/>
        <v>46326</v>
      </c>
      <c r="BN2" s="3">
        <f t="shared" si="0"/>
        <v>46327</v>
      </c>
      <c r="BO2" s="3">
        <f t="shared" si="0"/>
        <v>46328</v>
      </c>
      <c r="BP2" s="3">
        <f t="shared" si="0"/>
        <v>46329</v>
      </c>
      <c r="BQ2" s="3">
        <f t="shared" ref="BQ2:CX2" si="1">BP2+1</f>
        <v>46330</v>
      </c>
      <c r="BR2" s="3">
        <f t="shared" si="1"/>
        <v>46331</v>
      </c>
      <c r="BS2" s="3">
        <f t="shared" si="1"/>
        <v>46332</v>
      </c>
      <c r="BT2" s="3">
        <f t="shared" si="1"/>
        <v>46333</v>
      </c>
      <c r="BU2" s="3">
        <f t="shared" si="1"/>
        <v>46334</v>
      </c>
      <c r="BV2" s="3">
        <f t="shared" si="1"/>
        <v>46335</v>
      </c>
      <c r="BW2" s="3">
        <f t="shared" si="1"/>
        <v>46336</v>
      </c>
      <c r="BX2" s="3">
        <f t="shared" si="1"/>
        <v>46337</v>
      </c>
      <c r="BY2" s="3">
        <f t="shared" si="1"/>
        <v>46338</v>
      </c>
      <c r="BZ2" s="3">
        <f t="shared" si="1"/>
        <v>46339</v>
      </c>
      <c r="CA2" s="3">
        <f t="shared" si="1"/>
        <v>46340</v>
      </c>
      <c r="CB2" s="3">
        <f t="shared" si="1"/>
        <v>46341</v>
      </c>
      <c r="CC2" s="3">
        <f t="shared" si="1"/>
        <v>46342</v>
      </c>
      <c r="CD2" s="3">
        <f t="shared" si="1"/>
        <v>46343</v>
      </c>
      <c r="CE2" s="3">
        <f t="shared" si="1"/>
        <v>46344</v>
      </c>
      <c r="CF2" s="3">
        <f t="shared" si="1"/>
        <v>46345</v>
      </c>
      <c r="CG2" s="3">
        <f t="shared" si="1"/>
        <v>46346</v>
      </c>
      <c r="CH2" s="3">
        <f t="shared" si="1"/>
        <v>46347</v>
      </c>
      <c r="CI2" s="3">
        <f t="shared" si="1"/>
        <v>46348</v>
      </c>
      <c r="CJ2" s="3">
        <f t="shared" si="1"/>
        <v>46349</v>
      </c>
      <c r="CK2" s="3">
        <f t="shared" si="1"/>
        <v>46350</v>
      </c>
      <c r="CL2" s="3">
        <f t="shared" si="1"/>
        <v>46351</v>
      </c>
      <c r="CM2" s="3">
        <f t="shared" si="1"/>
        <v>46352</v>
      </c>
      <c r="CN2" s="3">
        <f t="shared" si="1"/>
        <v>46353</v>
      </c>
      <c r="CO2" s="3">
        <f t="shared" si="1"/>
        <v>46354</v>
      </c>
      <c r="CP2" s="3">
        <f t="shared" si="1"/>
        <v>46355</v>
      </c>
      <c r="CQ2" s="3">
        <f t="shared" si="1"/>
        <v>46356</v>
      </c>
      <c r="CR2" s="3">
        <f t="shared" si="1"/>
        <v>46357</v>
      </c>
      <c r="CS2" s="3">
        <f t="shared" si="1"/>
        <v>46358</v>
      </c>
      <c r="CT2" s="3">
        <f t="shared" si="1"/>
        <v>46359</v>
      </c>
      <c r="CU2" s="3">
        <f t="shared" si="1"/>
        <v>46360</v>
      </c>
      <c r="CV2" s="3">
        <f t="shared" si="1"/>
        <v>46361</v>
      </c>
      <c r="CW2" s="3">
        <f t="shared" si="1"/>
        <v>46362</v>
      </c>
      <c r="CX2" s="3">
        <f t="shared" si="1"/>
        <v>46363</v>
      </c>
      <c r="CY2" s="3">
        <f>CX2+1</f>
        <v>46364</v>
      </c>
      <c r="CZ2" s="3">
        <f t="shared" ref="CZ2:DI2" si="2">CY2+1</f>
        <v>46365</v>
      </c>
      <c r="DA2" s="3">
        <f t="shared" si="2"/>
        <v>46366</v>
      </c>
      <c r="DB2" s="3">
        <f t="shared" si="2"/>
        <v>46367</v>
      </c>
      <c r="DC2" s="3">
        <f t="shared" si="2"/>
        <v>46368</v>
      </c>
      <c r="DD2" s="3">
        <f t="shared" si="2"/>
        <v>46369</v>
      </c>
      <c r="DE2" s="3">
        <f t="shared" si="2"/>
        <v>46370</v>
      </c>
      <c r="DF2" s="3">
        <f t="shared" si="2"/>
        <v>46371</v>
      </c>
      <c r="DG2" s="3">
        <f t="shared" si="2"/>
        <v>46372</v>
      </c>
      <c r="DH2" s="3">
        <f t="shared" si="2"/>
        <v>46373</v>
      </c>
      <c r="DI2" s="3">
        <f t="shared" si="2"/>
        <v>46374</v>
      </c>
      <c r="DJ2" s="3">
        <f>DI2+1</f>
        <v>46375</v>
      </c>
      <c r="DK2" s="3">
        <f t="shared" ref="DK2:DX2" si="3">DJ2+1</f>
        <v>46376</v>
      </c>
      <c r="DL2" s="3">
        <f t="shared" si="3"/>
        <v>46377</v>
      </c>
      <c r="DM2" s="3">
        <f t="shared" si="3"/>
        <v>46378</v>
      </c>
      <c r="DN2" s="3">
        <f t="shared" si="3"/>
        <v>46379</v>
      </c>
      <c r="DO2" s="3">
        <f t="shared" si="3"/>
        <v>46380</v>
      </c>
      <c r="DP2" s="3">
        <f t="shared" si="3"/>
        <v>46381</v>
      </c>
      <c r="DQ2" s="3">
        <f t="shared" si="3"/>
        <v>46382</v>
      </c>
      <c r="DR2" s="3">
        <f t="shared" si="3"/>
        <v>46383</v>
      </c>
      <c r="DS2" s="3">
        <f t="shared" si="3"/>
        <v>46384</v>
      </c>
      <c r="DT2" s="3">
        <f t="shared" si="3"/>
        <v>46385</v>
      </c>
      <c r="DU2" s="3">
        <f t="shared" si="3"/>
        <v>46386</v>
      </c>
      <c r="DV2" s="3">
        <f t="shared" si="3"/>
        <v>46387</v>
      </c>
      <c r="DW2" s="3">
        <f t="shared" si="3"/>
        <v>46388</v>
      </c>
      <c r="DX2" s="3">
        <f t="shared" si="3"/>
        <v>46389</v>
      </c>
      <c r="DY2" s="3"/>
      <c r="DZ2" s="3"/>
      <c r="EA2" s="3"/>
    </row>
    <row r="3" spans="2:131" x14ac:dyDescent="0.2">
      <c r="B3" s="24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2</v>
      </c>
      <c r="K3" s="3" t="s">
        <v>3</v>
      </c>
      <c r="L3" s="3" t="s">
        <v>4</v>
      </c>
      <c r="M3" s="3" t="s">
        <v>5</v>
      </c>
      <c r="N3" s="3" t="s">
        <v>6</v>
      </c>
      <c r="O3" s="3" t="s">
        <v>7</v>
      </c>
      <c r="P3" s="3" t="s">
        <v>8</v>
      </c>
      <c r="Q3" s="3" t="s">
        <v>2</v>
      </c>
      <c r="R3" s="3" t="s">
        <v>3</v>
      </c>
      <c r="S3" s="3" t="s">
        <v>4</v>
      </c>
      <c r="T3" s="3" t="s">
        <v>5</v>
      </c>
      <c r="U3" s="3" t="s">
        <v>6</v>
      </c>
      <c r="V3" s="3" t="s">
        <v>7</v>
      </c>
      <c r="W3" s="3" t="s">
        <v>8</v>
      </c>
      <c r="X3" s="3" t="s">
        <v>2</v>
      </c>
      <c r="Y3" s="3" t="s">
        <v>3</v>
      </c>
      <c r="Z3" s="3" t="s">
        <v>4</v>
      </c>
      <c r="AA3" s="3" t="s">
        <v>5</v>
      </c>
      <c r="AB3" s="3" t="s">
        <v>6</v>
      </c>
      <c r="AC3" s="3" t="s">
        <v>7</v>
      </c>
      <c r="AD3" s="3" t="s">
        <v>8</v>
      </c>
      <c r="AE3" s="3" t="s">
        <v>2</v>
      </c>
      <c r="AF3" s="3" t="s">
        <v>3</v>
      </c>
      <c r="AG3" s="3" t="s">
        <v>4</v>
      </c>
      <c r="AH3" s="3" t="s">
        <v>5</v>
      </c>
      <c r="AI3" s="3" t="s">
        <v>6</v>
      </c>
      <c r="AJ3" s="3" t="s">
        <v>7</v>
      </c>
      <c r="AK3" s="3" t="s">
        <v>8</v>
      </c>
      <c r="AL3" s="3" t="s">
        <v>2</v>
      </c>
      <c r="AM3" s="3" t="s">
        <v>3</v>
      </c>
      <c r="AN3" s="3" t="s">
        <v>4</v>
      </c>
      <c r="AO3" s="3" t="s">
        <v>5</v>
      </c>
      <c r="AP3" s="3" t="s">
        <v>6</v>
      </c>
      <c r="AQ3" s="3" t="s">
        <v>7</v>
      </c>
      <c r="AR3" s="3" t="s">
        <v>8</v>
      </c>
      <c r="AS3" s="3" t="s">
        <v>2</v>
      </c>
      <c r="AT3" s="3" t="s">
        <v>3</v>
      </c>
      <c r="AU3" s="3" t="s">
        <v>4</v>
      </c>
      <c r="AV3" s="3" t="s">
        <v>5</v>
      </c>
      <c r="AW3" s="3" t="s">
        <v>6</v>
      </c>
      <c r="AX3" s="3" t="s">
        <v>7</v>
      </c>
      <c r="AY3" s="3" t="s">
        <v>8</v>
      </c>
      <c r="AZ3" s="3" t="s">
        <v>2</v>
      </c>
      <c r="BA3" s="3" t="s">
        <v>3</v>
      </c>
      <c r="BB3" s="3" t="s">
        <v>4</v>
      </c>
      <c r="BC3" s="3" t="s">
        <v>5</v>
      </c>
      <c r="BD3" s="3" t="s">
        <v>6</v>
      </c>
      <c r="BE3" s="3" t="s">
        <v>7</v>
      </c>
      <c r="BF3" s="3" t="s">
        <v>8</v>
      </c>
      <c r="BG3" s="3" t="s">
        <v>2</v>
      </c>
      <c r="BH3" s="3" t="s">
        <v>3</v>
      </c>
      <c r="BI3" s="3" t="s">
        <v>4</v>
      </c>
      <c r="BJ3" s="3" t="s">
        <v>5</v>
      </c>
      <c r="BK3" s="3" t="s">
        <v>6</v>
      </c>
      <c r="BL3" s="3" t="s">
        <v>7</v>
      </c>
      <c r="BM3" s="3" t="s">
        <v>8</v>
      </c>
      <c r="BN3" s="3" t="s">
        <v>2</v>
      </c>
      <c r="BO3" s="3" t="s">
        <v>3</v>
      </c>
      <c r="BP3" s="3" t="s">
        <v>4</v>
      </c>
      <c r="BQ3" s="3" t="s">
        <v>5</v>
      </c>
      <c r="BR3" s="3" t="s">
        <v>6</v>
      </c>
      <c r="BS3" s="3" t="s">
        <v>7</v>
      </c>
      <c r="BT3" s="3" t="s">
        <v>8</v>
      </c>
      <c r="BU3" s="3" t="s">
        <v>2</v>
      </c>
      <c r="BV3" s="3" t="s">
        <v>3</v>
      </c>
      <c r="BW3" s="3" t="s">
        <v>4</v>
      </c>
      <c r="BX3" s="3" t="s">
        <v>5</v>
      </c>
      <c r="BY3" s="3" t="s">
        <v>6</v>
      </c>
      <c r="BZ3" s="3" t="s">
        <v>7</v>
      </c>
      <c r="CA3" s="3" t="s">
        <v>8</v>
      </c>
      <c r="CB3" s="3" t="s">
        <v>2</v>
      </c>
      <c r="CC3" s="3" t="s">
        <v>3</v>
      </c>
      <c r="CD3" s="3" t="s">
        <v>4</v>
      </c>
      <c r="CE3" s="3" t="s">
        <v>5</v>
      </c>
      <c r="CF3" s="3" t="s">
        <v>6</v>
      </c>
      <c r="CG3" s="3" t="s">
        <v>7</v>
      </c>
      <c r="CH3" s="3" t="s">
        <v>8</v>
      </c>
      <c r="CI3" s="3" t="s">
        <v>2</v>
      </c>
      <c r="CJ3" s="3" t="s">
        <v>3</v>
      </c>
      <c r="CK3" s="3" t="s">
        <v>4</v>
      </c>
      <c r="CL3" s="3" t="s">
        <v>5</v>
      </c>
      <c r="CM3" s="3" t="s">
        <v>6</v>
      </c>
      <c r="CN3" s="3" t="s">
        <v>7</v>
      </c>
      <c r="CO3" s="3" t="s">
        <v>8</v>
      </c>
      <c r="CP3" s="3" t="s">
        <v>2</v>
      </c>
      <c r="CQ3" s="3" t="s">
        <v>3</v>
      </c>
      <c r="CR3" s="3" t="s">
        <v>4</v>
      </c>
      <c r="CS3" s="3" t="s">
        <v>5</v>
      </c>
      <c r="CT3" s="3" t="s">
        <v>6</v>
      </c>
      <c r="CU3" s="3" t="s">
        <v>7</v>
      </c>
      <c r="CV3" s="3" t="s">
        <v>8</v>
      </c>
      <c r="CW3" s="3" t="s">
        <v>2</v>
      </c>
      <c r="CX3" s="3" t="s">
        <v>3</v>
      </c>
      <c r="CY3" s="3" t="s">
        <v>4</v>
      </c>
      <c r="CZ3" s="3" t="s">
        <v>5</v>
      </c>
      <c r="DA3" s="3" t="s">
        <v>6</v>
      </c>
      <c r="DB3" s="3" t="s">
        <v>7</v>
      </c>
      <c r="DC3" s="3" t="s">
        <v>8</v>
      </c>
      <c r="DD3" s="3" t="s">
        <v>2</v>
      </c>
      <c r="DE3" s="3" t="s">
        <v>3</v>
      </c>
      <c r="DF3" s="3" t="s">
        <v>4</v>
      </c>
      <c r="DG3" s="3" t="s">
        <v>5</v>
      </c>
      <c r="DH3" s="3" t="s">
        <v>6</v>
      </c>
      <c r="DI3" s="3" t="s">
        <v>7</v>
      </c>
      <c r="DJ3" s="3" t="s">
        <v>8</v>
      </c>
      <c r="DK3" s="3" t="s">
        <v>2</v>
      </c>
      <c r="DL3" s="3" t="s">
        <v>3</v>
      </c>
      <c r="DM3" s="3" t="s">
        <v>4</v>
      </c>
      <c r="DN3" s="3" t="s">
        <v>5</v>
      </c>
      <c r="DO3" s="3" t="s">
        <v>6</v>
      </c>
      <c r="DP3" s="3" t="s">
        <v>7</v>
      </c>
      <c r="DQ3" s="3" t="s">
        <v>8</v>
      </c>
      <c r="DR3" s="3" t="s">
        <v>2</v>
      </c>
      <c r="DS3" s="3" t="s">
        <v>3</v>
      </c>
      <c r="DT3" s="3" t="s">
        <v>4</v>
      </c>
      <c r="DU3" s="3" t="s">
        <v>5</v>
      </c>
      <c r="DV3" s="3" t="s">
        <v>6</v>
      </c>
      <c r="DW3" s="3" t="s">
        <v>7</v>
      </c>
      <c r="DX3" s="3" t="s">
        <v>8</v>
      </c>
    </row>
    <row r="4" spans="2:131" x14ac:dyDescent="0.2">
      <c r="B4" s="1" t="s">
        <v>9</v>
      </c>
    </row>
    <row r="5" spans="2:131" x14ac:dyDescent="0.2">
      <c r="B5" s="1" t="s">
        <v>10</v>
      </c>
    </row>
    <row r="9" spans="2:131" x14ac:dyDescent="0.2">
      <c r="B9" s="1" t="s">
        <v>11</v>
      </c>
      <c r="C9" s="2">
        <f>AD1</f>
        <v>46291</v>
      </c>
      <c r="D9" s="2">
        <f>C9+7</f>
        <v>46298</v>
      </c>
      <c r="E9" s="2">
        <f t="shared" ref="E9:Q9" si="4">D9+7</f>
        <v>46305</v>
      </c>
      <c r="F9" s="2">
        <f t="shared" si="4"/>
        <v>46312</v>
      </c>
      <c r="G9" s="2">
        <f t="shared" si="4"/>
        <v>46319</v>
      </c>
      <c r="H9" s="2">
        <f t="shared" si="4"/>
        <v>46326</v>
      </c>
      <c r="I9" s="2">
        <f t="shared" si="4"/>
        <v>46333</v>
      </c>
      <c r="J9" s="2">
        <f t="shared" si="4"/>
        <v>46340</v>
      </c>
      <c r="K9" s="2">
        <f t="shared" si="4"/>
        <v>46347</v>
      </c>
      <c r="L9" s="2">
        <f t="shared" si="4"/>
        <v>46354</v>
      </c>
      <c r="M9" s="2">
        <f t="shared" si="4"/>
        <v>46361</v>
      </c>
      <c r="N9" s="2">
        <f t="shared" si="4"/>
        <v>46368</v>
      </c>
      <c r="O9" s="2">
        <f t="shared" si="4"/>
        <v>46375</v>
      </c>
      <c r="P9" s="2">
        <f t="shared" si="4"/>
        <v>46382</v>
      </c>
      <c r="Q9" s="2">
        <f t="shared" si="4"/>
        <v>46389</v>
      </c>
      <c r="R9" s="2"/>
    </row>
    <row r="10" spans="2:131" x14ac:dyDescent="0.2">
      <c r="B10" s="1" t="s">
        <v>12</v>
      </c>
      <c r="C10" s="1">
        <v>32000</v>
      </c>
      <c r="D10" s="1">
        <v>32000</v>
      </c>
      <c r="E10" s="1">
        <v>32000</v>
      </c>
      <c r="F10" s="1">
        <v>32000</v>
      </c>
      <c r="G10" s="1">
        <v>24000</v>
      </c>
      <c r="H10" s="1">
        <v>24000</v>
      </c>
      <c r="I10" s="1">
        <v>24000</v>
      </c>
      <c r="J10" s="1">
        <v>24000</v>
      </c>
      <c r="K10" s="1">
        <v>18000</v>
      </c>
      <c r="L10" s="1">
        <v>18000</v>
      </c>
      <c r="M10" s="1">
        <v>18000</v>
      </c>
      <c r="N10" s="1">
        <v>18000</v>
      </c>
      <c r="O10" s="1">
        <v>8000</v>
      </c>
      <c r="P10" s="1">
        <v>8000</v>
      </c>
      <c r="Q10" s="1">
        <v>8000</v>
      </c>
    </row>
    <row r="11" spans="2:131" x14ac:dyDescent="0.2">
      <c r="B11" s="1" t="s">
        <v>10</v>
      </c>
      <c r="C11" s="1">
        <f>C10</f>
        <v>32000</v>
      </c>
      <c r="D11" s="1">
        <f>C11+D10</f>
        <v>64000</v>
      </c>
      <c r="E11" s="1">
        <f t="shared" ref="E11:P11" si="5">D11+E10</f>
        <v>96000</v>
      </c>
      <c r="F11" s="1">
        <f t="shared" si="5"/>
        <v>128000</v>
      </c>
      <c r="G11" s="1">
        <f t="shared" si="5"/>
        <v>152000</v>
      </c>
      <c r="H11" s="1">
        <f t="shared" si="5"/>
        <v>176000</v>
      </c>
      <c r="I11" s="1">
        <f t="shared" si="5"/>
        <v>200000</v>
      </c>
      <c r="J11" s="1">
        <f t="shared" si="5"/>
        <v>224000</v>
      </c>
      <c r="K11" s="1">
        <f t="shared" si="5"/>
        <v>242000</v>
      </c>
      <c r="L11" s="1">
        <f t="shared" si="5"/>
        <v>260000</v>
      </c>
      <c r="M11" s="1">
        <f t="shared" si="5"/>
        <v>278000</v>
      </c>
      <c r="N11" s="1">
        <f t="shared" si="5"/>
        <v>296000</v>
      </c>
      <c r="O11" s="1">
        <f t="shared" si="5"/>
        <v>304000</v>
      </c>
      <c r="P11" s="1">
        <f t="shared" si="5"/>
        <v>312000</v>
      </c>
      <c r="Q11" s="1">
        <f>P11+Q10</f>
        <v>320000</v>
      </c>
    </row>
    <row r="13" spans="2:131" x14ac:dyDescent="0.2">
      <c r="B13" s="1" t="s">
        <v>22</v>
      </c>
      <c r="C13" s="1" t="s">
        <v>15</v>
      </c>
      <c r="D13" s="1" t="s">
        <v>23</v>
      </c>
      <c r="E13" s="1" t="s">
        <v>18</v>
      </c>
      <c r="F13" s="1" t="s">
        <v>19</v>
      </c>
    </row>
    <row r="14" spans="2:131" x14ac:dyDescent="0.2">
      <c r="B14" s="1" t="s">
        <v>1</v>
      </c>
      <c r="C14" s="3">
        <v>46268</v>
      </c>
      <c r="D14" s="3">
        <v>46275</v>
      </c>
      <c r="E14" s="3">
        <v>46272</v>
      </c>
      <c r="F14" s="3">
        <v>46279</v>
      </c>
    </row>
    <row r="15" spans="2:131" x14ac:dyDescent="0.2">
      <c r="C15" s="3"/>
      <c r="D15" s="3"/>
      <c r="E15" s="3"/>
      <c r="F15" s="3"/>
    </row>
    <row r="16" spans="2:131" x14ac:dyDescent="0.2">
      <c r="B16" s="1" t="s">
        <v>21</v>
      </c>
      <c r="C16" s="1" t="s">
        <v>24</v>
      </c>
      <c r="D16" s="1" t="s">
        <v>25</v>
      </c>
      <c r="E16" s="1">
        <v>0</v>
      </c>
      <c r="F16" s="1">
        <v>1</v>
      </c>
      <c r="G16" s="1">
        <f>F16+1</f>
        <v>2</v>
      </c>
      <c r="H16" s="1">
        <f t="shared" ref="H16:AI16" si="6">G16+1</f>
        <v>3</v>
      </c>
      <c r="I16" s="1">
        <f t="shared" si="6"/>
        <v>4</v>
      </c>
      <c r="J16" s="1">
        <f t="shared" si="6"/>
        <v>5</v>
      </c>
      <c r="K16" s="1">
        <f t="shared" si="6"/>
        <v>6</v>
      </c>
      <c r="L16" s="1">
        <f t="shared" si="6"/>
        <v>7</v>
      </c>
      <c r="M16" s="1">
        <f t="shared" si="6"/>
        <v>8</v>
      </c>
      <c r="N16" s="1">
        <f t="shared" si="6"/>
        <v>9</v>
      </c>
      <c r="O16" s="1">
        <f t="shared" si="6"/>
        <v>10</v>
      </c>
      <c r="P16" s="1">
        <f t="shared" si="6"/>
        <v>11</v>
      </c>
      <c r="Q16" s="1">
        <f t="shared" si="6"/>
        <v>12</v>
      </c>
      <c r="R16" s="1">
        <f t="shared" si="6"/>
        <v>13</v>
      </c>
      <c r="S16" s="1">
        <f t="shared" si="6"/>
        <v>14</v>
      </c>
      <c r="T16" s="1">
        <f t="shared" si="6"/>
        <v>15</v>
      </c>
      <c r="U16" s="1">
        <f t="shared" si="6"/>
        <v>16</v>
      </c>
      <c r="V16" s="1">
        <f t="shared" si="6"/>
        <v>17</v>
      </c>
      <c r="W16" s="1">
        <f t="shared" si="6"/>
        <v>18</v>
      </c>
      <c r="X16" s="1">
        <f t="shared" si="6"/>
        <v>19</v>
      </c>
      <c r="Y16" s="1">
        <f t="shared" si="6"/>
        <v>20</v>
      </c>
      <c r="Z16" s="1">
        <f t="shared" si="6"/>
        <v>21</v>
      </c>
      <c r="AA16" s="1">
        <f t="shared" si="6"/>
        <v>22</v>
      </c>
      <c r="AB16" s="1">
        <f t="shared" si="6"/>
        <v>23</v>
      </c>
      <c r="AC16" s="1">
        <f t="shared" si="6"/>
        <v>24</v>
      </c>
      <c r="AD16" s="1">
        <f t="shared" si="6"/>
        <v>25</v>
      </c>
      <c r="AE16" s="1">
        <f t="shared" si="6"/>
        <v>26</v>
      </c>
      <c r="AF16" s="1">
        <f t="shared" si="6"/>
        <v>27</v>
      </c>
      <c r="AG16" s="1">
        <f t="shared" si="6"/>
        <v>28</v>
      </c>
      <c r="AH16" s="1">
        <f t="shared" si="6"/>
        <v>29</v>
      </c>
      <c r="AI16" s="1">
        <f t="shared" si="6"/>
        <v>30</v>
      </c>
    </row>
    <row r="17" spans="2:128" s="4" customFormat="1" ht="17" customHeight="1" x14ac:dyDescent="0.2">
      <c r="B17" s="4" t="s">
        <v>16</v>
      </c>
      <c r="C17" s="4">
        <v>1</v>
      </c>
      <c r="D17" s="6">
        <v>30</v>
      </c>
      <c r="E17" s="4">
        <v>0</v>
      </c>
      <c r="F17" s="22">
        <v>0.5</v>
      </c>
      <c r="G17" s="22">
        <v>0.52</v>
      </c>
      <c r="H17" s="22">
        <v>0.53</v>
      </c>
      <c r="I17" s="22">
        <v>0.55000000000000004</v>
      </c>
      <c r="J17" s="22">
        <v>0.56999999999999995</v>
      </c>
      <c r="K17" s="22">
        <v>0.59</v>
      </c>
      <c r="L17" s="22">
        <v>0.6</v>
      </c>
      <c r="M17" s="22">
        <v>0.62</v>
      </c>
      <c r="N17" s="22">
        <v>0.64</v>
      </c>
      <c r="O17" s="22">
        <v>0.66</v>
      </c>
      <c r="P17" s="22">
        <v>0.67</v>
      </c>
      <c r="Q17" s="22">
        <v>0.69</v>
      </c>
      <c r="R17" s="22">
        <v>0.71</v>
      </c>
      <c r="S17" s="22">
        <v>0.72</v>
      </c>
      <c r="T17" s="22">
        <v>0.74</v>
      </c>
      <c r="U17" s="22">
        <v>0.76</v>
      </c>
      <c r="V17" s="22">
        <v>0.78</v>
      </c>
      <c r="W17" s="22">
        <v>0.79</v>
      </c>
      <c r="X17" s="22">
        <v>0.81</v>
      </c>
      <c r="Y17" s="22">
        <v>0.83</v>
      </c>
      <c r="Z17" s="22">
        <v>0.84</v>
      </c>
      <c r="AA17" s="22">
        <v>0.86</v>
      </c>
      <c r="AB17" s="22">
        <v>0.88</v>
      </c>
      <c r="AC17" s="22">
        <v>0.9</v>
      </c>
      <c r="AD17" s="22">
        <v>0.91</v>
      </c>
      <c r="AE17" s="22">
        <v>0.93</v>
      </c>
      <c r="AF17" s="22">
        <v>0.95</v>
      </c>
      <c r="AG17" s="22">
        <v>0.97</v>
      </c>
      <c r="AH17" s="22">
        <v>0.98</v>
      </c>
      <c r="AI17" s="22">
        <v>1</v>
      </c>
    </row>
    <row r="18" spans="2:128" s="4" customFormat="1" x14ac:dyDescent="0.2">
      <c r="B18" s="4" t="s">
        <v>17</v>
      </c>
      <c r="C18" s="4">
        <v>0.98</v>
      </c>
      <c r="D18" s="7">
        <v>30</v>
      </c>
      <c r="E18" s="4">
        <v>0</v>
      </c>
      <c r="F18" s="22">
        <v>0.7</v>
      </c>
      <c r="G18" s="22">
        <v>0.7097</v>
      </c>
      <c r="H18" s="22">
        <v>0.71930000000000005</v>
      </c>
      <c r="I18" s="22">
        <v>0.72899999999999998</v>
      </c>
      <c r="J18" s="22">
        <v>0.73860000000000003</v>
      </c>
      <c r="K18" s="22">
        <v>0.74829999999999997</v>
      </c>
      <c r="L18" s="22">
        <v>0.75790000000000002</v>
      </c>
      <c r="M18" s="22">
        <v>0.76759999999999995</v>
      </c>
      <c r="N18" s="22">
        <v>0.7772</v>
      </c>
      <c r="O18" s="22">
        <v>0.78690000000000004</v>
      </c>
      <c r="P18" s="22">
        <v>0.79659999999999997</v>
      </c>
      <c r="Q18" s="22">
        <v>0.80620000000000003</v>
      </c>
      <c r="R18" s="22">
        <v>0.81589999999999996</v>
      </c>
      <c r="S18" s="22">
        <v>0.82550000000000001</v>
      </c>
      <c r="T18" s="22">
        <v>0.83520000000000005</v>
      </c>
      <c r="U18" s="22">
        <v>0.8448</v>
      </c>
      <c r="V18" s="22">
        <v>0.85450000000000004</v>
      </c>
      <c r="W18" s="22">
        <v>0.86409999999999998</v>
      </c>
      <c r="X18" s="22">
        <v>0.87380000000000002</v>
      </c>
      <c r="Y18" s="22">
        <v>0.88339999999999996</v>
      </c>
      <c r="Z18" s="22">
        <v>0.8931</v>
      </c>
      <c r="AA18" s="22">
        <v>0.90280000000000005</v>
      </c>
      <c r="AB18" s="22">
        <v>0.91239999999999999</v>
      </c>
      <c r="AC18" s="22">
        <v>0.92210000000000003</v>
      </c>
      <c r="AD18" s="22">
        <v>0.93169999999999997</v>
      </c>
      <c r="AE18" s="22">
        <v>0.94140000000000001</v>
      </c>
      <c r="AF18" s="22">
        <v>0.95099999999999996</v>
      </c>
      <c r="AG18" s="22">
        <v>0.9607</v>
      </c>
      <c r="AH18" s="22">
        <v>0.97030000000000005</v>
      </c>
      <c r="AI18" s="22">
        <v>0.98</v>
      </c>
    </row>
    <row r="20" spans="2:128" x14ac:dyDescent="0.2">
      <c r="B20" s="1" t="s">
        <v>13</v>
      </c>
    </row>
    <row r="21" spans="2:128" s="18" customFormat="1" x14ac:dyDescent="0.2">
      <c r="B21" s="25" t="s">
        <v>1</v>
      </c>
      <c r="C21" s="19">
        <f>C2</f>
        <v>46264</v>
      </c>
      <c r="D21" s="19">
        <f t="shared" ref="D21:BO21" si="7">D2</f>
        <v>46265</v>
      </c>
      <c r="E21" s="19">
        <f t="shared" si="7"/>
        <v>46266</v>
      </c>
      <c r="F21" s="19">
        <f t="shared" si="7"/>
        <v>46267</v>
      </c>
      <c r="G21" s="19">
        <f t="shared" si="7"/>
        <v>46268</v>
      </c>
      <c r="H21" s="19">
        <f t="shared" si="7"/>
        <v>46269</v>
      </c>
      <c r="I21" s="20">
        <f t="shared" si="7"/>
        <v>46270</v>
      </c>
      <c r="J21" s="20">
        <f t="shared" si="7"/>
        <v>46271</v>
      </c>
      <c r="K21" s="19">
        <f t="shared" si="7"/>
        <v>46272</v>
      </c>
      <c r="L21" s="19">
        <f t="shared" si="7"/>
        <v>46273</v>
      </c>
      <c r="M21" s="19">
        <f t="shared" si="7"/>
        <v>46274</v>
      </c>
      <c r="N21" s="19">
        <f t="shared" si="7"/>
        <v>46275</v>
      </c>
      <c r="O21" s="19">
        <f t="shared" si="7"/>
        <v>46276</v>
      </c>
      <c r="P21" s="20">
        <f t="shared" si="7"/>
        <v>46277</v>
      </c>
      <c r="Q21" s="20">
        <f t="shared" si="7"/>
        <v>46278</v>
      </c>
      <c r="R21" s="19">
        <f t="shared" si="7"/>
        <v>46279</v>
      </c>
      <c r="S21" s="19">
        <f t="shared" si="7"/>
        <v>46280</v>
      </c>
      <c r="T21" s="19">
        <f t="shared" si="7"/>
        <v>46281</v>
      </c>
      <c r="U21" s="19">
        <f t="shared" si="7"/>
        <v>46282</v>
      </c>
      <c r="V21" s="19">
        <f t="shared" si="7"/>
        <v>46283</v>
      </c>
      <c r="W21" s="20">
        <f t="shared" si="7"/>
        <v>46284</v>
      </c>
      <c r="X21" s="20">
        <f t="shared" si="7"/>
        <v>46285</v>
      </c>
      <c r="Y21" s="19">
        <f t="shared" si="7"/>
        <v>46286</v>
      </c>
      <c r="Z21" s="19">
        <f t="shared" si="7"/>
        <v>46287</v>
      </c>
      <c r="AA21" s="19">
        <f t="shared" si="7"/>
        <v>46288</v>
      </c>
      <c r="AB21" s="19">
        <f t="shared" si="7"/>
        <v>46289</v>
      </c>
      <c r="AC21" s="19">
        <f t="shared" si="7"/>
        <v>46290</v>
      </c>
      <c r="AD21" s="20">
        <f t="shared" si="7"/>
        <v>46291</v>
      </c>
      <c r="AE21" s="20">
        <f t="shared" si="7"/>
        <v>46292</v>
      </c>
      <c r="AF21" s="19">
        <f t="shared" si="7"/>
        <v>46293</v>
      </c>
      <c r="AG21" s="19">
        <f t="shared" si="7"/>
        <v>46294</v>
      </c>
      <c r="AH21" s="19">
        <f t="shared" si="7"/>
        <v>46295</v>
      </c>
      <c r="AI21" s="19">
        <f t="shared" si="7"/>
        <v>46296</v>
      </c>
      <c r="AJ21" s="19">
        <f t="shared" si="7"/>
        <v>46297</v>
      </c>
      <c r="AK21" s="20">
        <f t="shared" si="7"/>
        <v>46298</v>
      </c>
      <c r="AL21" s="20">
        <f t="shared" si="7"/>
        <v>46299</v>
      </c>
      <c r="AM21" s="19">
        <f t="shared" si="7"/>
        <v>46300</v>
      </c>
      <c r="AN21" s="19">
        <f t="shared" si="7"/>
        <v>46301</v>
      </c>
      <c r="AO21" s="19">
        <f t="shared" si="7"/>
        <v>46302</v>
      </c>
      <c r="AP21" s="19">
        <f t="shared" si="7"/>
        <v>46303</v>
      </c>
      <c r="AQ21" s="19">
        <f t="shared" si="7"/>
        <v>46304</v>
      </c>
      <c r="AR21" s="20">
        <f t="shared" si="7"/>
        <v>46305</v>
      </c>
      <c r="AS21" s="20">
        <f t="shared" si="7"/>
        <v>46306</v>
      </c>
      <c r="AT21" s="19">
        <f t="shared" si="7"/>
        <v>46307</v>
      </c>
      <c r="AU21" s="19">
        <f t="shared" si="7"/>
        <v>46308</v>
      </c>
      <c r="AV21" s="19">
        <f t="shared" si="7"/>
        <v>46309</v>
      </c>
      <c r="AW21" s="19">
        <f t="shared" si="7"/>
        <v>46310</v>
      </c>
      <c r="AX21" s="19">
        <f t="shared" si="7"/>
        <v>46311</v>
      </c>
      <c r="AY21" s="20">
        <f t="shared" si="7"/>
        <v>46312</v>
      </c>
      <c r="AZ21" s="20">
        <f t="shared" si="7"/>
        <v>46313</v>
      </c>
      <c r="BA21" s="19">
        <f t="shared" si="7"/>
        <v>46314</v>
      </c>
      <c r="BB21" s="19">
        <f t="shared" si="7"/>
        <v>46315</v>
      </c>
      <c r="BC21" s="19">
        <f t="shared" si="7"/>
        <v>46316</v>
      </c>
      <c r="BD21" s="19">
        <f t="shared" si="7"/>
        <v>46317</v>
      </c>
      <c r="BE21" s="19">
        <f t="shared" si="7"/>
        <v>46318</v>
      </c>
      <c r="BF21" s="20">
        <f t="shared" si="7"/>
        <v>46319</v>
      </c>
      <c r="BG21" s="20">
        <f t="shared" si="7"/>
        <v>46320</v>
      </c>
      <c r="BH21" s="19">
        <f t="shared" si="7"/>
        <v>46321</v>
      </c>
      <c r="BI21" s="19">
        <f t="shared" si="7"/>
        <v>46322</v>
      </c>
      <c r="BJ21" s="19">
        <f t="shared" si="7"/>
        <v>46323</v>
      </c>
      <c r="BK21" s="19">
        <f t="shared" si="7"/>
        <v>46324</v>
      </c>
      <c r="BL21" s="19">
        <f t="shared" si="7"/>
        <v>46325</v>
      </c>
      <c r="BM21" s="20">
        <f t="shared" si="7"/>
        <v>46326</v>
      </c>
      <c r="BN21" s="20">
        <f t="shared" si="7"/>
        <v>46327</v>
      </c>
      <c r="BO21" s="19">
        <f t="shared" si="7"/>
        <v>46328</v>
      </c>
      <c r="BP21" s="19">
        <f t="shared" ref="BP21:DX21" si="8">BP2</f>
        <v>46329</v>
      </c>
      <c r="BQ21" s="19">
        <f t="shared" si="8"/>
        <v>46330</v>
      </c>
      <c r="BR21" s="19">
        <f t="shared" si="8"/>
        <v>46331</v>
      </c>
      <c r="BS21" s="19">
        <f t="shared" si="8"/>
        <v>46332</v>
      </c>
      <c r="BT21" s="20">
        <f t="shared" si="8"/>
        <v>46333</v>
      </c>
      <c r="BU21" s="20">
        <f t="shared" si="8"/>
        <v>46334</v>
      </c>
      <c r="BV21" s="19">
        <f t="shared" si="8"/>
        <v>46335</v>
      </c>
      <c r="BW21" s="19">
        <f t="shared" si="8"/>
        <v>46336</v>
      </c>
      <c r="BX21" s="19">
        <f t="shared" si="8"/>
        <v>46337</v>
      </c>
      <c r="BY21" s="19">
        <f t="shared" si="8"/>
        <v>46338</v>
      </c>
      <c r="BZ21" s="19">
        <f t="shared" si="8"/>
        <v>46339</v>
      </c>
      <c r="CA21" s="20">
        <f t="shared" si="8"/>
        <v>46340</v>
      </c>
      <c r="CB21" s="20">
        <f t="shared" si="8"/>
        <v>46341</v>
      </c>
      <c r="CC21" s="19">
        <f t="shared" si="8"/>
        <v>46342</v>
      </c>
      <c r="CD21" s="19">
        <f t="shared" si="8"/>
        <v>46343</v>
      </c>
      <c r="CE21" s="19">
        <f t="shared" si="8"/>
        <v>46344</v>
      </c>
      <c r="CF21" s="19">
        <f t="shared" si="8"/>
        <v>46345</v>
      </c>
      <c r="CG21" s="19">
        <f t="shared" si="8"/>
        <v>46346</v>
      </c>
      <c r="CH21" s="20">
        <f t="shared" si="8"/>
        <v>46347</v>
      </c>
      <c r="CI21" s="20">
        <f t="shared" si="8"/>
        <v>46348</v>
      </c>
      <c r="CJ21" s="19">
        <f t="shared" si="8"/>
        <v>46349</v>
      </c>
      <c r="CK21" s="19">
        <f t="shared" si="8"/>
        <v>46350</v>
      </c>
      <c r="CL21" s="19">
        <f t="shared" si="8"/>
        <v>46351</v>
      </c>
      <c r="CM21" s="19">
        <f t="shared" si="8"/>
        <v>46352</v>
      </c>
      <c r="CN21" s="19">
        <f t="shared" si="8"/>
        <v>46353</v>
      </c>
      <c r="CO21" s="20">
        <f t="shared" si="8"/>
        <v>46354</v>
      </c>
      <c r="CP21" s="20">
        <f t="shared" si="8"/>
        <v>46355</v>
      </c>
      <c r="CQ21" s="19">
        <f t="shared" si="8"/>
        <v>46356</v>
      </c>
      <c r="CR21" s="19">
        <f t="shared" si="8"/>
        <v>46357</v>
      </c>
      <c r="CS21" s="19">
        <f t="shared" si="8"/>
        <v>46358</v>
      </c>
      <c r="CT21" s="19">
        <f t="shared" si="8"/>
        <v>46359</v>
      </c>
      <c r="CU21" s="19">
        <f t="shared" si="8"/>
        <v>46360</v>
      </c>
      <c r="CV21" s="20">
        <f t="shared" si="8"/>
        <v>46361</v>
      </c>
      <c r="CW21" s="20">
        <f t="shared" si="8"/>
        <v>46362</v>
      </c>
      <c r="CX21" s="19">
        <f t="shared" si="8"/>
        <v>46363</v>
      </c>
      <c r="CY21" s="19">
        <f t="shared" si="8"/>
        <v>46364</v>
      </c>
      <c r="CZ21" s="19">
        <f t="shared" si="8"/>
        <v>46365</v>
      </c>
      <c r="DA21" s="19">
        <f t="shared" si="8"/>
        <v>46366</v>
      </c>
      <c r="DB21" s="19">
        <f t="shared" si="8"/>
        <v>46367</v>
      </c>
      <c r="DC21" s="20">
        <f t="shared" si="8"/>
        <v>46368</v>
      </c>
      <c r="DD21" s="20">
        <f t="shared" si="8"/>
        <v>46369</v>
      </c>
      <c r="DE21" s="19">
        <f t="shared" si="8"/>
        <v>46370</v>
      </c>
      <c r="DF21" s="19">
        <f t="shared" si="8"/>
        <v>46371</v>
      </c>
      <c r="DG21" s="19">
        <f t="shared" si="8"/>
        <v>46372</v>
      </c>
      <c r="DH21" s="19">
        <f t="shared" si="8"/>
        <v>46373</v>
      </c>
      <c r="DI21" s="19">
        <f t="shared" si="8"/>
        <v>46374</v>
      </c>
      <c r="DJ21" s="20">
        <f t="shared" si="8"/>
        <v>46375</v>
      </c>
      <c r="DK21" s="20">
        <f t="shared" si="8"/>
        <v>46376</v>
      </c>
      <c r="DL21" s="19">
        <f t="shared" si="8"/>
        <v>46377</v>
      </c>
      <c r="DM21" s="19">
        <f t="shared" si="8"/>
        <v>46378</v>
      </c>
      <c r="DN21" s="19">
        <f t="shared" si="8"/>
        <v>46379</v>
      </c>
      <c r="DO21" s="19">
        <f t="shared" si="8"/>
        <v>46380</v>
      </c>
      <c r="DP21" s="19">
        <f t="shared" si="8"/>
        <v>46381</v>
      </c>
      <c r="DQ21" s="20">
        <f t="shared" si="8"/>
        <v>46382</v>
      </c>
      <c r="DR21" s="20">
        <f t="shared" si="8"/>
        <v>46383</v>
      </c>
      <c r="DS21" s="19">
        <f t="shared" si="8"/>
        <v>46384</v>
      </c>
      <c r="DT21" s="19">
        <f t="shared" si="8"/>
        <v>46385</v>
      </c>
      <c r="DU21" s="19">
        <f t="shared" si="8"/>
        <v>46386</v>
      </c>
      <c r="DV21" s="19">
        <f t="shared" si="8"/>
        <v>46387</v>
      </c>
      <c r="DW21" s="19">
        <f t="shared" si="8"/>
        <v>46388</v>
      </c>
      <c r="DX21" s="20">
        <f t="shared" si="8"/>
        <v>46389</v>
      </c>
    </row>
    <row r="22" spans="2:128" s="18" customFormat="1" x14ac:dyDescent="0.2">
      <c r="B22" s="25"/>
      <c r="C22" s="19" t="str">
        <f>C3</f>
        <v>Sun</v>
      </c>
      <c r="D22" s="19" t="str">
        <f t="shared" ref="D22:BO22" si="9">D3</f>
        <v>Mon</v>
      </c>
      <c r="E22" s="19" t="str">
        <f t="shared" si="9"/>
        <v>Tue</v>
      </c>
      <c r="F22" s="19" t="str">
        <f t="shared" si="9"/>
        <v>Wed</v>
      </c>
      <c r="G22" s="19" t="str">
        <f t="shared" si="9"/>
        <v>Thu</v>
      </c>
      <c r="H22" s="19" t="str">
        <f t="shared" si="9"/>
        <v>Fri</v>
      </c>
      <c r="I22" s="20" t="str">
        <f t="shared" si="9"/>
        <v>Sat</v>
      </c>
      <c r="J22" s="20" t="str">
        <f t="shared" si="9"/>
        <v>Sun</v>
      </c>
      <c r="K22" s="19" t="str">
        <f t="shared" si="9"/>
        <v>Mon</v>
      </c>
      <c r="L22" s="19" t="str">
        <f t="shared" si="9"/>
        <v>Tue</v>
      </c>
      <c r="M22" s="19" t="str">
        <f t="shared" si="9"/>
        <v>Wed</v>
      </c>
      <c r="N22" s="19" t="str">
        <f t="shared" si="9"/>
        <v>Thu</v>
      </c>
      <c r="O22" s="19" t="str">
        <f t="shared" si="9"/>
        <v>Fri</v>
      </c>
      <c r="P22" s="20" t="str">
        <f t="shared" si="9"/>
        <v>Sat</v>
      </c>
      <c r="Q22" s="20" t="str">
        <f t="shared" si="9"/>
        <v>Sun</v>
      </c>
      <c r="R22" s="19" t="str">
        <f t="shared" si="9"/>
        <v>Mon</v>
      </c>
      <c r="S22" s="19" t="str">
        <f t="shared" si="9"/>
        <v>Tue</v>
      </c>
      <c r="T22" s="19" t="str">
        <f t="shared" si="9"/>
        <v>Wed</v>
      </c>
      <c r="U22" s="19" t="str">
        <f t="shared" si="9"/>
        <v>Thu</v>
      </c>
      <c r="V22" s="19" t="str">
        <f t="shared" si="9"/>
        <v>Fri</v>
      </c>
      <c r="W22" s="20" t="str">
        <f t="shared" si="9"/>
        <v>Sat</v>
      </c>
      <c r="X22" s="20" t="str">
        <f t="shared" si="9"/>
        <v>Sun</v>
      </c>
      <c r="Y22" s="19" t="str">
        <f t="shared" si="9"/>
        <v>Mon</v>
      </c>
      <c r="Z22" s="19" t="str">
        <f t="shared" si="9"/>
        <v>Tue</v>
      </c>
      <c r="AA22" s="19" t="str">
        <f t="shared" si="9"/>
        <v>Wed</v>
      </c>
      <c r="AB22" s="19" t="str">
        <f t="shared" si="9"/>
        <v>Thu</v>
      </c>
      <c r="AC22" s="19" t="str">
        <f t="shared" si="9"/>
        <v>Fri</v>
      </c>
      <c r="AD22" s="20" t="str">
        <f t="shared" si="9"/>
        <v>Sat</v>
      </c>
      <c r="AE22" s="20" t="str">
        <f t="shared" si="9"/>
        <v>Sun</v>
      </c>
      <c r="AF22" s="19" t="str">
        <f t="shared" si="9"/>
        <v>Mon</v>
      </c>
      <c r="AG22" s="19" t="str">
        <f t="shared" si="9"/>
        <v>Tue</v>
      </c>
      <c r="AH22" s="19" t="str">
        <f t="shared" si="9"/>
        <v>Wed</v>
      </c>
      <c r="AI22" s="19" t="str">
        <f t="shared" si="9"/>
        <v>Thu</v>
      </c>
      <c r="AJ22" s="19" t="str">
        <f t="shared" si="9"/>
        <v>Fri</v>
      </c>
      <c r="AK22" s="20" t="str">
        <f t="shared" si="9"/>
        <v>Sat</v>
      </c>
      <c r="AL22" s="20" t="str">
        <f t="shared" si="9"/>
        <v>Sun</v>
      </c>
      <c r="AM22" s="19" t="str">
        <f t="shared" si="9"/>
        <v>Mon</v>
      </c>
      <c r="AN22" s="19" t="str">
        <f t="shared" si="9"/>
        <v>Tue</v>
      </c>
      <c r="AO22" s="19" t="str">
        <f t="shared" si="9"/>
        <v>Wed</v>
      </c>
      <c r="AP22" s="19" t="str">
        <f t="shared" si="9"/>
        <v>Thu</v>
      </c>
      <c r="AQ22" s="19" t="str">
        <f t="shared" si="9"/>
        <v>Fri</v>
      </c>
      <c r="AR22" s="20" t="str">
        <f t="shared" si="9"/>
        <v>Sat</v>
      </c>
      <c r="AS22" s="20" t="str">
        <f t="shared" si="9"/>
        <v>Sun</v>
      </c>
      <c r="AT22" s="19" t="str">
        <f t="shared" si="9"/>
        <v>Mon</v>
      </c>
      <c r="AU22" s="19" t="str">
        <f t="shared" si="9"/>
        <v>Tue</v>
      </c>
      <c r="AV22" s="19" t="str">
        <f t="shared" si="9"/>
        <v>Wed</v>
      </c>
      <c r="AW22" s="19" t="str">
        <f t="shared" si="9"/>
        <v>Thu</v>
      </c>
      <c r="AX22" s="19" t="str">
        <f t="shared" si="9"/>
        <v>Fri</v>
      </c>
      <c r="AY22" s="20" t="str">
        <f t="shared" si="9"/>
        <v>Sat</v>
      </c>
      <c r="AZ22" s="20" t="str">
        <f t="shared" si="9"/>
        <v>Sun</v>
      </c>
      <c r="BA22" s="19" t="str">
        <f t="shared" si="9"/>
        <v>Mon</v>
      </c>
      <c r="BB22" s="19" t="str">
        <f t="shared" si="9"/>
        <v>Tue</v>
      </c>
      <c r="BC22" s="19" t="str">
        <f t="shared" si="9"/>
        <v>Wed</v>
      </c>
      <c r="BD22" s="19" t="str">
        <f t="shared" si="9"/>
        <v>Thu</v>
      </c>
      <c r="BE22" s="19" t="str">
        <f t="shared" si="9"/>
        <v>Fri</v>
      </c>
      <c r="BF22" s="20" t="str">
        <f t="shared" si="9"/>
        <v>Sat</v>
      </c>
      <c r="BG22" s="20" t="str">
        <f t="shared" si="9"/>
        <v>Sun</v>
      </c>
      <c r="BH22" s="19" t="str">
        <f t="shared" si="9"/>
        <v>Mon</v>
      </c>
      <c r="BI22" s="19" t="str">
        <f t="shared" si="9"/>
        <v>Tue</v>
      </c>
      <c r="BJ22" s="19" t="str">
        <f t="shared" si="9"/>
        <v>Wed</v>
      </c>
      <c r="BK22" s="19" t="str">
        <f t="shared" si="9"/>
        <v>Thu</v>
      </c>
      <c r="BL22" s="19" t="str">
        <f t="shared" si="9"/>
        <v>Fri</v>
      </c>
      <c r="BM22" s="20" t="str">
        <f t="shared" si="9"/>
        <v>Sat</v>
      </c>
      <c r="BN22" s="20" t="str">
        <f t="shared" si="9"/>
        <v>Sun</v>
      </c>
      <c r="BO22" s="19" t="str">
        <f t="shared" si="9"/>
        <v>Mon</v>
      </c>
      <c r="BP22" s="19" t="str">
        <f t="shared" ref="BP22:DX22" si="10">BP3</f>
        <v>Tue</v>
      </c>
      <c r="BQ22" s="19" t="str">
        <f t="shared" si="10"/>
        <v>Wed</v>
      </c>
      <c r="BR22" s="19" t="str">
        <f t="shared" si="10"/>
        <v>Thu</v>
      </c>
      <c r="BS22" s="19" t="str">
        <f t="shared" si="10"/>
        <v>Fri</v>
      </c>
      <c r="BT22" s="20" t="str">
        <f t="shared" si="10"/>
        <v>Sat</v>
      </c>
      <c r="BU22" s="20" t="str">
        <f t="shared" si="10"/>
        <v>Sun</v>
      </c>
      <c r="BV22" s="19" t="str">
        <f t="shared" si="10"/>
        <v>Mon</v>
      </c>
      <c r="BW22" s="19" t="str">
        <f t="shared" si="10"/>
        <v>Tue</v>
      </c>
      <c r="BX22" s="19" t="str">
        <f t="shared" si="10"/>
        <v>Wed</v>
      </c>
      <c r="BY22" s="19" t="str">
        <f t="shared" si="10"/>
        <v>Thu</v>
      </c>
      <c r="BZ22" s="19" t="str">
        <f t="shared" si="10"/>
        <v>Fri</v>
      </c>
      <c r="CA22" s="20" t="str">
        <f t="shared" si="10"/>
        <v>Sat</v>
      </c>
      <c r="CB22" s="20" t="str">
        <f t="shared" si="10"/>
        <v>Sun</v>
      </c>
      <c r="CC22" s="19" t="str">
        <f t="shared" si="10"/>
        <v>Mon</v>
      </c>
      <c r="CD22" s="19" t="str">
        <f t="shared" si="10"/>
        <v>Tue</v>
      </c>
      <c r="CE22" s="19" t="str">
        <f t="shared" si="10"/>
        <v>Wed</v>
      </c>
      <c r="CF22" s="19" t="str">
        <f t="shared" si="10"/>
        <v>Thu</v>
      </c>
      <c r="CG22" s="19" t="str">
        <f t="shared" si="10"/>
        <v>Fri</v>
      </c>
      <c r="CH22" s="20" t="str">
        <f t="shared" si="10"/>
        <v>Sat</v>
      </c>
      <c r="CI22" s="20" t="str">
        <f t="shared" si="10"/>
        <v>Sun</v>
      </c>
      <c r="CJ22" s="19" t="str">
        <f t="shared" si="10"/>
        <v>Mon</v>
      </c>
      <c r="CK22" s="19" t="str">
        <f t="shared" si="10"/>
        <v>Tue</v>
      </c>
      <c r="CL22" s="19" t="str">
        <f t="shared" si="10"/>
        <v>Wed</v>
      </c>
      <c r="CM22" s="19" t="str">
        <f t="shared" si="10"/>
        <v>Thu</v>
      </c>
      <c r="CN22" s="19" t="str">
        <f t="shared" si="10"/>
        <v>Fri</v>
      </c>
      <c r="CO22" s="20" t="str">
        <f t="shared" si="10"/>
        <v>Sat</v>
      </c>
      <c r="CP22" s="20" t="str">
        <f t="shared" si="10"/>
        <v>Sun</v>
      </c>
      <c r="CQ22" s="19" t="str">
        <f t="shared" si="10"/>
        <v>Mon</v>
      </c>
      <c r="CR22" s="19" t="str">
        <f t="shared" si="10"/>
        <v>Tue</v>
      </c>
      <c r="CS22" s="19" t="str">
        <f t="shared" si="10"/>
        <v>Wed</v>
      </c>
      <c r="CT22" s="19" t="str">
        <f t="shared" si="10"/>
        <v>Thu</v>
      </c>
      <c r="CU22" s="19" t="str">
        <f t="shared" si="10"/>
        <v>Fri</v>
      </c>
      <c r="CV22" s="20" t="str">
        <f t="shared" si="10"/>
        <v>Sat</v>
      </c>
      <c r="CW22" s="20" t="str">
        <f t="shared" si="10"/>
        <v>Sun</v>
      </c>
      <c r="CX22" s="19" t="str">
        <f t="shared" si="10"/>
        <v>Mon</v>
      </c>
      <c r="CY22" s="19" t="str">
        <f t="shared" si="10"/>
        <v>Tue</v>
      </c>
      <c r="CZ22" s="19" t="str">
        <f t="shared" si="10"/>
        <v>Wed</v>
      </c>
      <c r="DA22" s="19" t="str">
        <f t="shared" si="10"/>
        <v>Thu</v>
      </c>
      <c r="DB22" s="19" t="str">
        <f t="shared" si="10"/>
        <v>Fri</v>
      </c>
      <c r="DC22" s="20" t="str">
        <f t="shared" si="10"/>
        <v>Sat</v>
      </c>
      <c r="DD22" s="20" t="str">
        <f t="shared" si="10"/>
        <v>Sun</v>
      </c>
      <c r="DE22" s="19" t="str">
        <f t="shared" si="10"/>
        <v>Mon</v>
      </c>
      <c r="DF22" s="19" t="str">
        <f t="shared" si="10"/>
        <v>Tue</v>
      </c>
      <c r="DG22" s="19" t="str">
        <f t="shared" si="10"/>
        <v>Wed</v>
      </c>
      <c r="DH22" s="19" t="str">
        <f t="shared" si="10"/>
        <v>Thu</v>
      </c>
      <c r="DI22" s="19" t="str">
        <f t="shared" si="10"/>
        <v>Fri</v>
      </c>
      <c r="DJ22" s="20" t="str">
        <f t="shared" si="10"/>
        <v>Sat</v>
      </c>
      <c r="DK22" s="20" t="str">
        <f t="shared" si="10"/>
        <v>Sun</v>
      </c>
      <c r="DL22" s="19" t="str">
        <f t="shared" si="10"/>
        <v>Mon</v>
      </c>
      <c r="DM22" s="19" t="str">
        <f t="shared" si="10"/>
        <v>Tue</v>
      </c>
      <c r="DN22" s="19" t="str">
        <f t="shared" si="10"/>
        <v>Wed</v>
      </c>
      <c r="DO22" s="19" t="str">
        <f t="shared" si="10"/>
        <v>Thu</v>
      </c>
      <c r="DP22" s="19" t="str">
        <f t="shared" si="10"/>
        <v>Fri</v>
      </c>
      <c r="DQ22" s="20" t="str">
        <f t="shared" si="10"/>
        <v>Sat</v>
      </c>
      <c r="DR22" s="20" t="str">
        <f t="shared" si="10"/>
        <v>Sun</v>
      </c>
      <c r="DS22" s="19" t="str">
        <f t="shared" si="10"/>
        <v>Mon</v>
      </c>
      <c r="DT22" s="19" t="str">
        <f t="shared" si="10"/>
        <v>Tue</v>
      </c>
      <c r="DU22" s="19" t="str">
        <f t="shared" si="10"/>
        <v>Wed</v>
      </c>
      <c r="DV22" s="19" t="str">
        <f t="shared" si="10"/>
        <v>Thu</v>
      </c>
      <c r="DW22" s="19" t="str">
        <f t="shared" si="10"/>
        <v>Fri</v>
      </c>
      <c r="DX22" s="20" t="str">
        <f t="shared" si="10"/>
        <v>Sat</v>
      </c>
    </row>
    <row r="23" spans="2:128" x14ac:dyDescent="0.2">
      <c r="B23" s="1" t="s">
        <v>14</v>
      </c>
      <c r="C23" s="1">
        <f>IF(C22="Sun",0,120)</f>
        <v>0</v>
      </c>
      <c r="D23" s="1">
        <f t="shared" ref="D23:M23" si="11">IF(D22="Sun",0,120)</f>
        <v>120</v>
      </c>
      <c r="E23" s="1">
        <f t="shared" si="11"/>
        <v>120</v>
      </c>
      <c r="F23" s="1">
        <f t="shared" si="11"/>
        <v>120</v>
      </c>
      <c r="G23" s="1">
        <f t="shared" si="11"/>
        <v>120</v>
      </c>
      <c r="H23" s="1">
        <f t="shared" si="11"/>
        <v>120</v>
      </c>
      <c r="I23" s="1">
        <f t="shared" si="11"/>
        <v>120</v>
      </c>
      <c r="J23" s="1">
        <f t="shared" si="11"/>
        <v>0</v>
      </c>
      <c r="K23" s="1">
        <f>IF(K22="Sun",0,120)</f>
        <v>120</v>
      </c>
      <c r="L23" s="1">
        <f t="shared" si="11"/>
        <v>120</v>
      </c>
      <c r="M23" s="1">
        <f t="shared" si="11"/>
        <v>120</v>
      </c>
      <c r="N23" s="1">
        <f t="shared" ref="N23" si="12">IF(N22="Sun",0,120)</f>
        <v>120</v>
      </c>
      <c r="O23" s="1">
        <f t="shared" ref="O23" si="13">IF(O22="Sun",0,120)</f>
        <v>120</v>
      </c>
      <c r="P23" s="1">
        <f t="shared" ref="P23" si="14">IF(P22="Sun",0,120)</f>
        <v>120</v>
      </c>
      <c r="Q23" s="1">
        <f t="shared" ref="Q23" si="15">IF(Q22="Sun",0,120)</f>
        <v>0</v>
      </c>
      <c r="R23" s="1">
        <f t="shared" ref="R23" si="16">IF(R22="Sun",0,120)</f>
        <v>120</v>
      </c>
      <c r="S23" s="1">
        <f t="shared" ref="S23" si="17">IF(S22="Sun",0,120)</f>
        <v>120</v>
      </c>
      <c r="T23" s="1">
        <f t="shared" ref="T23:U23" si="18">IF(T22="Sun",0,120)</f>
        <v>120</v>
      </c>
      <c r="U23" s="1">
        <f t="shared" si="18"/>
        <v>120</v>
      </c>
      <c r="V23" s="1">
        <f t="shared" ref="V23:W23" si="19">IF(V22="Sun",0,120)</f>
        <v>120</v>
      </c>
      <c r="W23" s="1">
        <f t="shared" si="19"/>
        <v>120</v>
      </c>
      <c r="X23" s="1">
        <f t="shared" ref="X23" si="20">IF(X22="Sun",0,120)</f>
        <v>0</v>
      </c>
      <c r="Y23" s="1">
        <f t="shared" ref="Y23" si="21">IF(Y22="Sun",0,120)</f>
        <v>120</v>
      </c>
      <c r="Z23" s="1">
        <f t="shared" ref="Z23" si="22">IF(Z22="Sun",0,120)</f>
        <v>120</v>
      </c>
      <c r="AA23" s="1">
        <f t="shared" ref="AA23" si="23">IF(AA22="Sun",0,120)</f>
        <v>120</v>
      </c>
      <c r="AB23" s="1">
        <f t="shared" ref="AB23" si="24">IF(AB22="Sun",0,120)</f>
        <v>120</v>
      </c>
      <c r="AC23" s="1">
        <f t="shared" ref="AC23" si="25">IF(AC22="Sun",0,120)</f>
        <v>120</v>
      </c>
      <c r="AD23" s="1">
        <f t="shared" ref="AD23:AE23" si="26">IF(AD22="Sun",0,120)</f>
        <v>120</v>
      </c>
      <c r="AE23" s="1">
        <f t="shared" si="26"/>
        <v>0</v>
      </c>
      <c r="AF23" s="1">
        <f t="shared" ref="AF23:AG23" si="27">IF(AF22="Sun",0,120)</f>
        <v>120</v>
      </c>
      <c r="AG23" s="1">
        <f t="shared" si="27"/>
        <v>120</v>
      </c>
      <c r="AH23" s="1">
        <f t="shared" ref="AH23" si="28">IF(AH22="Sun",0,120)</f>
        <v>120</v>
      </c>
      <c r="AI23" s="1">
        <f t="shared" ref="AI23" si="29">IF(AI22="Sun",0,120)</f>
        <v>120</v>
      </c>
      <c r="AJ23" s="1">
        <f t="shared" ref="AJ23" si="30">IF(AJ22="Sun",0,120)</f>
        <v>120</v>
      </c>
      <c r="AK23" s="1">
        <f t="shared" ref="AK23" si="31">IF(AK22="Sun",0,120)</f>
        <v>120</v>
      </c>
      <c r="AL23" s="1">
        <f t="shared" ref="AL23" si="32">IF(AL22="Sun",0,120)</f>
        <v>0</v>
      </c>
      <c r="AM23" s="1">
        <f t="shared" ref="AM23" si="33">IF(AM22="Sun",0,120)</f>
        <v>120</v>
      </c>
      <c r="AN23" s="1">
        <f t="shared" ref="AN23:AO23" si="34">IF(AN22="Sun",0,120)</f>
        <v>120</v>
      </c>
      <c r="AO23" s="1">
        <f t="shared" si="34"/>
        <v>120</v>
      </c>
      <c r="AP23" s="1">
        <f t="shared" ref="AP23:AQ23" si="35">IF(AP22="Sun",0,120)</f>
        <v>120</v>
      </c>
      <c r="AQ23" s="1">
        <f t="shared" si="35"/>
        <v>120</v>
      </c>
      <c r="AR23" s="1">
        <f t="shared" ref="AR23" si="36">IF(AR22="Sun",0,120)</f>
        <v>120</v>
      </c>
      <c r="AS23" s="1">
        <f t="shared" ref="AS23" si="37">IF(AS22="Sun",0,120)</f>
        <v>0</v>
      </c>
      <c r="AT23" s="1">
        <f t="shared" ref="AT23" si="38">IF(AT22="Sun",0,120)</f>
        <v>120</v>
      </c>
      <c r="AU23" s="1">
        <f t="shared" ref="AU23" si="39">IF(AU22="Sun",0,120)</f>
        <v>120</v>
      </c>
      <c r="AV23" s="1">
        <f t="shared" ref="AV23" si="40">IF(AV22="Sun",0,120)</f>
        <v>120</v>
      </c>
      <c r="AW23" s="1">
        <f t="shared" ref="AW23" si="41">IF(AW22="Sun",0,120)</f>
        <v>120</v>
      </c>
      <c r="AX23" s="1">
        <f t="shared" ref="AX23:AY23" si="42">IF(AX22="Sun",0,120)</f>
        <v>120</v>
      </c>
      <c r="AY23" s="1">
        <f t="shared" si="42"/>
        <v>120</v>
      </c>
      <c r="AZ23" s="1">
        <f t="shared" ref="AZ23:BA23" si="43">IF(AZ22="Sun",0,120)</f>
        <v>0</v>
      </c>
      <c r="BA23" s="1">
        <f t="shared" si="43"/>
        <v>120</v>
      </c>
      <c r="BB23" s="1">
        <f t="shared" ref="BB23" si="44">IF(BB22="Sun",0,120)</f>
        <v>120</v>
      </c>
      <c r="BC23" s="1">
        <f t="shared" ref="BC23" si="45">IF(BC22="Sun",0,120)</f>
        <v>120</v>
      </c>
      <c r="BD23" s="1">
        <f t="shared" ref="BD23" si="46">IF(BD22="Sun",0,120)</f>
        <v>120</v>
      </c>
      <c r="BE23" s="1">
        <f t="shared" ref="BE23" si="47">IF(BE22="Sun",0,120)</f>
        <v>120</v>
      </c>
      <c r="BF23" s="1">
        <f t="shared" ref="BF23" si="48">IF(BF22="Sun",0,120)</f>
        <v>120</v>
      </c>
      <c r="BG23" s="1">
        <f t="shared" ref="BG23" si="49">IF(BG22="Sun",0,120)</f>
        <v>0</v>
      </c>
      <c r="BH23" s="1">
        <f t="shared" ref="BH23:BI23" si="50">IF(BH22="Sun",0,120)</f>
        <v>120</v>
      </c>
      <c r="BI23" s="1">
        <f t="shared" si="50"/>
        <v>120</v>
      </c>
      <c r="BJ23" s="1">
        <f t="shared" ref="BJ23:BK23" si="51">IF(BJ22="Sun",0,120)</f>
        <v>120</v>
      </c>
      <c r="BK23" s="1">
        <f t="shared" si="51"/>
        <v>120</v>
      </c>
      <c r="BL23" s="1">
        <f t="shared" ref="BL23" si="52">IF(BL22="Sun",0,120)</f>
        <v>120</v>
      </c>
      <c r="BM23" s="1">
        <f t="shared" ref="BM23" si="53">IF(BM22="Sun",0,120)</f>
        <v>120</v>
      </c>
      <c r="BN23" s="1">
        <f t="shared" ref="BN23" si="54">IF(BN22="Sun",0,120)</f>
        <v>0</v>
      </c>
      <c r="BO23" s="1">
        <f t="shared" ref="BO23" si="55">IF(BO22="Sun",0,120)</f>
        <v>120</v>
      </c>
      <c r="BP23" s="1">
        <f t="shared" ref="BP23" si="56">IF(BP22="Sun",0,120)</f>
        <v>120</v>
      </c>
      <c r="BQ23" s="1">
        <f t="shared" ref="BQ23" si="57">IF(BQ22="Sun",0,120)</f>
        <v>120</v>
      </c>
      <c r="BR23" s="1">
        <f t="shared" ref="BR23:BS23" si="58">IF(BR22="Sun",0,120)</f>
        <v>120</v>
      </c>
      <c r="BS23" s="1">
        <f t="shared" si="58"/>
        <v>120</v>
      </c>
      <c r="BT23" s="1">
        <f t="shared" ref="BT23:BU23" si="59">IF(BT22="Sun",0,120)</f>
        <v>120</v>
      </c>
      <c r="BU23" s="1">
        <f t="shared" si="59"/>
        <v>0</v>
      </c>
      <c r="BV23" s="1">
        <f t="shared" ref="BV23" si="60">IF(BV22="Sun",0,120)</f>
        <v>120</v>
      </c>
      <c r="BW23" s="1">
        <f t="shared" ref="BW23" si="61">IF(BW22="Sun",0,120)</f>
        <v>120</v>
      </c>
      <c r="BX23" s="1">
        <f t="shared" ref="BX23" si="62">IF(BX22="Sun",0,120)</f>
        <v>120</v>
      </c>
      <c r="BY23" s="1">
        <f t="shared" ref="BY23" si="63">IF(BY22="Sun",0,120)</f>
        <v>120</v>
      </c>
      <c r="BZ23" s="1">
        <f t="shared" ref="BZ23" si="64">IF(BZ22="Sun",0,120)</f>
        <v>120</v>
      </c>
      <c r="CA23" s="1">
        <f t="shared" ref="CA23" si="65">IF(CA22="Sun",0,120)</f>
        <v>120</v>
      </c>
      <c r="CB23" s="1">
        <f t="shared" ref="CB23:CC23" si="66">IF(CB22="Sun",0,120)</f>
        <v>0</v>
      </c>
      <c r="CC23" s="1">
        <f t="shared" si="66"/>
        <v>120</v>
      </c>
      <c r="CD23" s="1">
        <f t="shared" ref="CD23:CE23" si="67">IF(CD22="Sun",0,120)</f>
        <v>120</v>
      </c>
      <c r="CE23" s="1">
        <f t="shared" si="67"/>
        <v>120</v>
      </c>
      <c r="CF23" s="1">
        <f t="shared" ref="CF23" si="68">IF(CF22="Sun",0,120)</f>
        <v>120</v>
      </c>
      <c r="CG23" s="1">
        <f t="shared" ref="CG23" si="69">IF(CG22="Sun",0,120)</f>
        <v>120</v>
      </c>
      <c r="CH23" s="1">
        <f t="shared" ref="CH23" si="70">IF(CH22="Sun",0,120)</f>
        <v>120</v>
      </c>
      <c r="CI23" s="1">
        <f t="shared" ref="CI23" si="71">IF(CI22="Sun",0,120)</f>
        <v>0</v>
      </c>
      <c r="CJ23" s="1">
        <f t="shared" ref="CJ23" si="72">IF(CJ22="Sun",0,120)</f>
        <v>120</v>
      </c>
      <c r="CK23" s="1">
        <f t="shared" ref="CK23" si="73">IF(CK22="Sun",0,120)</f>
        <v>120</v>
      </c>
      <c r="CL23" s="1">
        <f t="shared" ref="CL23:CM23" si="74">IF(CL22="Sun",0,120)</f>
        <v>120</v>
      </c>
      <c r="CM23" s="1">
        <f t="shared" si="74"/>
        <v>120</v>
      </c>
      <c r="CN23" s="1">
        <f t="shared" ref="CN23:CO23" si="75">IF(CN22="Sun",0,120)</f>
        <v>120</v>
      </c>
      <c r="CO23" s="1">
        <f t="shared" si="75"/>
        <v>120</v>
      </c>
      <c r="CP23" s="1">
        <f t="shared" ref="CP23" si="76">IF(CP22="Sun",0,120)</f>
        <v>0</v>
      </c>
      <c r="CQ23" s="1">
        <f t="shared" ref="CQ23" si="77">IF(CQ22="Sun",0,120)</f>
        <v>120</v>
      </c>
      <c r="CR23" s="1">
        <f t="shared" ref="CR23" si="78">IF(CR22="Sun",0,120)</f>
        <v>120</v>
      </c>
      <c r="CS23" s="1">
        <f t="shared" ref="CS23" si="79">IF(CS22="Sun",0,120)</f>
        <v>120</v>
      </c>
      <c r="CT23" s="1">
        <f t="shared" ref="CT23" si="80">IF(CT22="Sun",0,120)</f>
        <v>120</v>
      </c>
      <c r="CU23" s="1">
        <f t="shared" ref="CU23" si="81">IF(CU22="Sun",0,120)</f>
        <v>120</v>
      </c>
      <c r="CV23" s="1">
        <f t="shared" ref="CV23:CW23" si="82">IF(CV22="Sun",0,120)</f>
        <v>120</v>
      </c>
      <c r="CW23" s="1">
        <f t="shared" si="82"/>
        <v>0</v>
      </c>
      <c r="CX23" s="1">
        <f t="shared" ref="CX23:CY23" si="83">IF(CX22="Sun",0,120)</f>
        <v>120</v>
      </c>
      <c r="CY23" s="1">
        <f t="shared" si="83"/>
        <v>120</v>
      </c>
      <c r="CZ23" s="1">
        <f t="shared" ref="CZ23" si="84">IF(CZ22="Sun",0,120)</f>
        <v>120</v>
      </c>
      <c r="DA23" s="1">
        <f t="shared" ref="DA23" si="85">IF(DA22="Sun",0,120)</f>
        <v>120</v>
      </c>
      <c r="DB23" s="1">
        <f t="shared" ref="DB23" si="86">IF(DB22="Sun",0,120)</f>
        <v>120</v>
      </c>
      <c r="DC23" s="1">
        <f t="shared" ref="DC23" si="87">IF(DC22="Sun",0,120)</f>
        <v>120</v>
      </c>
      <c r="DD23" s="1">
        <f t="shared" ref="DD23" si="88">IF(DD22="Sun",0,120)</f>
        <v>0</v>
      </c>
      <c r="DE23" s="1">
        <f t="shared" ref="DE23" si="89">IF(DE22="Sun",0,120)</f>
        <v>120</v>
      </c>
      <c r="DF23" s="1">
        <f t="shared" ref="DF23:DG23" si="90">IF(DF22="Sun",0,120)</f>
        <v>120</v>
      </c>
      <c r="DG23" s="1">
        <f t="shared" si="90"/>
        <v>120</v>
      </c>
      <c r="DH23" s="1">
        <f t="shared" ref="DH23:DI23" si="91">IF(DH22="Sun",0,120)</f>
        <v>120</v>
      </c>
      <c r="DI23" s="1">
        <f t="shared" si="91"/>
        <v>120</v>
      </c>
      <c r="DJ23" s="1">
        <f t="shared" ref="DJ23" si="92">IF(DJ22="Sun",0,120)</f>
        <v>120</v>
      </c>
      <c r="DK23" s="1">
        <f t="shared" ref="DK23" si="93">IF(DK22="Sun",0,120)</f>
        <v>0</v>
      </c>
      <c r="DL23" s="1">
        <f t="shared" ref="DL23" si="94">IF(DL22="Sun",0,120)</f>
        <v>120</v>
      </c>
      <c r="DM23" s="1">
        <f t="shared" ref="DM23" si="95">IF(DM22="Sun",0,120)</f>
        <v>120</v>
      </c>
      <c r="DN23" s="1">
        <f t="shared" ref="DN23" si="96">IF(DN22="Sun",0,120)</f>
        <v>120</v>
      </c>
      <c r="DO23" s="1">
        <f t="shared" ref="DO23" si="97">IF(DO22="Sun",0,120)</f>
        <v>120</v>
      </c>
      <c r="DP23" s="1">
        <f t="shared" ref="DP23:DQ23" si="98">IF(DP22="Sun",0,120)</f>
        <v>120</v>
      </c>
      <c r="DQ23" s="1">
        <f t="shared" si="98"/>
        <v>120</v>
      </c>
      <c r="DR23" s="1">
        <f t="shared" ref="DR23:DS23" si="99">IF(DR22="Sun",0,120)</f>
        <v>0</v>
      </c>
      <c r="DS23" s="1">
        <f t="shared" si="99"/>
        <v>120</v>
      </c>
      <c r="DT23" s="1">
        <f t="shared" ref="DT23" si="100">IF(DT22="Sun",0,120)</f>
        <v>120</v>
      </c>
      <c r="DU23" s="1">
        <f t="shared" ref="DU23" si="101">IF(DU22="Sun",0,120)</f>
        <v>120</v>
      </c>
      <c r="DV23" s="1">
        <f t="shared" ref="DV23" si="102">IF(DV22="Sun",0,120)</f>
        <v>120</v>
      </c>
      <c r="DW23" s="1">
        <f t="shared" ref="DW23" si="103">IF(DW22="Sun",0,120)</f>
        <v>120</v>
      </c>
      <c r="DX23" s="1">
        <f t="shared" ref="DX23" si="104">IF(DX22="Sun",0,120)</f>
        <v>120</v>
      </c>
    </row>
    <row r="24" spans="2:128" x14ac:dyDescent="0.2">
      <c r="B24" s="1" t="s">
        <v>40</v>
      </c>
      <c r="C24" s="1">
        <f>IF(C22="Sun",0,10)</f>
        <v>0</v>
      </c>
      <c r="D24" s="1">
        <f t="shared" ref="D24:M24" si="105">IF(D22="Sun",0,10)</f>
        <v>10</v>
      </c>
      <c r="E24" s="1">
        <f t="shared" si="105"/>
        <v>10</v>
      </c>
      <c r="F24" s="1">
        <f t="shared" si="105"/>
        <v>10</v>
      </c>
      <c r="G24" s="1">
        <f t="shared" si="105"/>
        <v>10</v>
      </c>
      <c r="H24" s="1">
        <f t="shared" si="105"/>
        <v>10</v>
      </c>
      <c r="I24" s="1">
        <f t="shared" si="105"/>
        <v>10</v>
      </c>
      <c r="J24" s="1">
        <f t="shared" si="105"/>
        <v>0</v>
      </c>
      <c r="K24" s="1">
        <f t="shared" si="105"/>
        <v>10</v>
      </c>
      <c r="L24" s="1">
        <f t="shared" si="105"/>
        <v>10</v>
      </c>
      <c r="M24" s="1">
        <f t="shared" si="105"/>
        <v>10</v>
      </c>
      <c r="N24" s="1">
        <f t="shared" ref="N24:BY25" si="106">IF(N22="Sun",0,10)</f>
        <v>10</v>
      </c>
      <c r="O24" s="1">
        <f t="shared" si="106"/>
        <v>10</v>
      </c>
      <c r="P24" s="1">
        <f t="shared" si="106"/>
        <v>10</v>
      </c>
      <c r="Q24" s="1">
        <f t="shared" si="106"/>
        <v>0</v>
      </c>
      <c r="R24" s="1">
        <f t="shared" si="106"/>
        <v>10</v>
      </c>
      <c r="S24" s="1">
        <f t="shared" si="106"/>
        <v>10</v>
      </c>
      <c r="T24" s="1">
        <f t="shared" si="106"/>
        <v>10</v>
      </c>
      <c r="U24" s="1">
        <f t="shared" si="106"/>
        <v>10</v>
      </c>
      <c r="V24" s="1">
        <f t="shared" si="106"/>
        <v>10</v>
      </c>
      <c r="W24" s="1">
        <f t="shared" si="106"/>
        <v>10</v>
      </c>
      <c r="X24" s="1">
        <f t="shared" si="106"/>
        <v>0</v>
      </c>
      <c r="Y24" s="1">
        <f t="shared" si="106"/>
        <v>10</v>
      </c>
      <c r="Z24" s="1">
        <f t="shared" si="106"/>
        <v>10</v>
      </c>
      <c r="AA24" s="1">
        <f t="shared" si="106"/>
        <v>10</v>
      </c>
      <c r="AB24" s="1">
        <f t="shared" si="106"/>
        <v>10</v>
      </c>
      <c r="AC24" s="23">
        <v>0</v>
      </c>
      <c r="AD24" s="23">
        <v>0</v>
      </c>
      <c r="AE24" s="1">
        <f t="shared" si="106"/>
        <v>0</v>
      </c>
      <c r="AF24" s="1">
        <f t="shared" si="106"/>
        <v>10</v>
      </c>
      <c r="AG24" s="1">
        <f t="shared" si="106"/>
        <v>10</v>
      </c>
      <c r="AH24" s="1">
        <f t="shared" si="106"/>
        <v>10</v>
      </c>
      <c r="AI24" s="23">
        <v>0</v>
      </c>
      <c r="AJ24" s="23">
        <v>0</v>
      </c>
      <c r="AK24" s="23">
        <v>0</v>
      </c>
      <c r="AL24" s="23">
        <f t="shared" si="106"/>
        <v>0</v>
      </c>
      <c r="AM24" s="23">
        <v>0</v>
      </c>
      <c r="AN24" s="23">
        <v>0</v>
      </c>
      <c r="AO24" s="23">
        <v>0</v>
      </c>
      <c r="AP24" s="1">
        <f t="shared" si="106"/>
        <v>10</v>
      </c>
      <c r="AQ24" s="1">
        <f t="shared" si="106"/>
        <v>10</v>
      </c>
      <c r="AR24" s="1">
        <f t="shared" si="106"/>
        <v>10</v>
      </c>
      <c r="AS24" s="1">
        <f t="shared" si="106"/>
        <v>0</v>
      </c>
      <c r="AT24" s="1">
        <f t="shared" si="106"/>
        <v>10</v>
      </c>
      <c r="AU24" s="1">
        <f t="shared" si="106"/>
        <v>10</v>
      </c>
      <c r="AV24" s="1">
        <f t="shared" si="106"/>
        <v>10</v>
      </c>
      <c r="AW24" s="1">
        <f t="shared" si="106"/>
        <v>10</v>
      </c>
      <c r="AX24" s="1">
        <f t="shared" si="106"/>
        <v>10</v>
      </c>
      <c r="AY24" s="1">
        <f t="shared" si="106"/>
        <v>10</v>
      </c>
      <c r="AZ24" s="1">
        <f t="shared" si="106"/>
        <v>0</v>
      </c>
      <c r="BA24" s="1">
        <f t="shared" si="106"/>
        <v>10</v>
      </c>
      <c r="BB24" s="1">
        <f t="shared" si="106"/>
        <v>10</v>
      </c>
      <c r="BC24" s="1">
        <f t="shared" si="106"/>
        <v>10</v>
      </c>
      <c r="BD24" s="1">
        <f t="shared" si="106"/>
        <v>10</v>
      </c>
      <c r="BE24" s="1">
        <f t="shared" si="106"/>
        <v>10</v>
      </c>
      <c r="BF24" s="1">
        <f t="shared" si="106"/>
        <v>10</v>
      </c>
      <c r="BG24" s="1">
        <f t="shared" si="106"/>
        <v>0</v>
      </c>
      <c r="BH24" s="1">
        <f t="shared" si="106"/>
        <v>10</v>
      </c>
      <c r="BI24" s="1">
        <f t="shared" si="106"/>
        <v>10</v>
      </c>
      <c r="BJ24" s="1">
        <f t="shared" si="106"/>
        <v>10</v>
      </c>
      <c r="BK24" s="1">
        <f t="shared" si="106"/>
        <v>10</v>
      </c>
      <c r="BL24" s="1">
        <f t="shared" si="106"/>
        <v>10</v>
      </c>
      <c r="BM24" s="1">
        <f t="shared" si="106"/>
        <v>10</v>
      </c>
      <c r="BN24" s="1">
        <f t="shared" si="106"/>
        <v>0</v>
      </c>
      <c r="BO24" s="1">
        <f t="shared" si="106"/>
        <v>10</v>
      </c>
      <c r="BP24" s="1">
        <f t="shared" si="106"/>
        <v>10</v>
      </c>
      <c r="BQ24" s="1">
        <f t="shared" si="106"/>
        <v>10</v>
      </c>
      <c r="BR24" s="1">
        <f t="shared" si="106"/>
        <v>10</v>
      </c>
      <c r="BS24" s="1">
        <f t="shared" si="106"/>
        <v>10</v>
      </c>
      <c r="BT24" s="1">
        <f t="shared" si="106"/>
        <v>10</v>
      </c>
      <c r="BU24" s="1">
        <f t="shared" si="106"/>
        <v>0</v>
      </c>
      <c r="BV24" s="1">
        <f t="shared" si="106"/>
        <v>10</v>
      </c>
      <c r="BW24" s="1">
        <f t="shared" si="106"/>
        <v>10</v>
      </c>
      <c r="BX24" s="1">
        <f t="shared" si="106"/>
        <v>10</v>
      </c>
      <c r="BY24" s="1">
        <f t="shared" si="106"/>
        <v>10</v>
      </c>
      <c r="BZ24" s="1">
        <f t="shared" ref="BZ24:DX25" si="107">IF(BZ22="Sun",0,10)</f>
        <v>10</v>
      </c>
      <c r="CA24" s="1">
        <f t="shared" si="107"/>
        <v>10</v>
      </c>
      <c r="CB24" s="1">
        <f t="shared" si="107"/>
        <v>0</v>
      </c>
      <c r="CC24" s="1">
        <f t="shared" si="107"/>
        <v>10</v>
      </c>
      <c r="CD24" s="1">
        <f t="shared" si="107"/>
        <v>10</v>
      </c>
      <c r="CE24" s="1">
        <f t="shared" si="107"/>
        <v>10</v>
      </c>
      <c r="CF24" s="1">
        <f t="shared" si="107"/>
        <v>10</v>
      </c>
      <c r="CG24" s="1">
        <f t="shared" si="107"/>
        <v>10</v>
      </c>
      <c r="CH24" s="1">
        <f t="shared" si="107"/>
        <v>10</v>
      </c>
      <c r="CI24" s="1">
        <f t="shared" si="107"/>
        <v>0</v>
      </c>
      <c r="CJ24" s="1">
        <f t="shared" si="107"/>
        <v>10</v>
      </c>
      <c r="CK24" s="1">
        <f t="shared" si="107"/>
        <v>10</v>
      </c>
      <c r="CL24" s="1">
        <f t="shared" si="107"/>
        <v>10</v>
      </c>
      <c r="CM24" s="1">
        <f t="shared" si="107"/>
        <v>10</v>
      </c>
      <c r="CN24" s="1">
        <f t="shared" si="107"/>
        <v>10</v>
      </c>
      <c r="CO24" s="1">
        <f t="shared" si="107"/>
        <v>10</v>
      </c>
      <c r="CP24" s="1">
        <f t="shared" si="107"/>
        <v>0</v>
      </c>
      <c r="CQ24" s="1">
        <f t="shared" si="107"/>
        <v>10</v>
      </c>
      <c r="CR24" s="1">
        <f t="shared" si="107"/>
        <v>10</v>
      </c>
      <c r="CS24" s="1">
        <f t="shared" si="107"/>
        <v>10</v>
      </c>
      <c r="CT24" s="1">
        <f t="shared" si="107"/>
        <v>10</v>
      </c>
      <c r="CU24" s="1">
        <f t="shared" si="107"/>
        <v>10</v>
      </c>
      <c r="CV24" s="1">
        <f t="shared" si="107"/>
        <v>10</v>
      </c>
      <c r="CW24" s="1">
        <f t="shared" si="107"/>
        <v>0</v>
      </c>
      <c r="CX24" s="1">
        <f t="shared" si="107"/>
        <v>10</v>
      </c>
      <c r="CY24" s="1">
        <f t="shared" si="107"/>
        <v>10</v>
      </c>
      <c r="CZ24" s="1">
        <f t="shared" si="107"/>
        <v>10</v>
      </c>
      <c r="DA24" s="1">
        <f t="shared" si="107"/>
        <v>10</v>
      </c>
      <c r="DB24" s="1">
        <f t="shared" si="107"/>
        <v>10</v>
      </c>
      <c r="DC24" s="1">
        <f t="shared" si="107"/>
        <v>10</v>
      </c>
      <c r="DD24" s="1">
        <f t="shared" si="107"/>
        <v>0</v>
      </c>
      <c r="DE24" s="1">
        <f t="shared" si="107"/>
        <v>10</v>
      </c>
      <c r="DF24" s="1">
        <f t="shared" si="107"/>
        <v>10</v>
      </c>
      <c r="DG24" s="1">
        <f t="shared" si="107"/>
        <v>10</v>
      </c>
      <c r="DH24" s="1">
        <f t="shared" si="107"/>
        <v>10</v>
      </c>
      <c r="DI24" s="1">
        <f t="shared" si="107"/>
        <v>10</v>
      </c>
      <c r="DJ24" s="1">
        <f t="shared" si="107"/>
        <v>10</v>
      </c>
      <c r="DK24" s="1">
        <f t="shared" si="107"/>
        <v>0</v>
      </c>
      <c r="DL24" s="1">
        <f t="shared" si="107"/>
        <v>10</v>
      </c>
      <c r="DM24" s="1">
        <f t="shared" si="107"/>
        <v>10</v>
      </c>
      <c r="DN24" s="1">
        <f t="shared" si="107"/>
        <v>10</v>
      </c>
      <c r="DO24" s="1">
        <f t="shared" si="107"/>
        <v>10</v>
      </c>
      <c r="DP24" s="1">
        <f t="shared" si="107"/>
        <v>10</v>
      </c>
      <c r="DQ24" s="1">
        <f t="shared" si="107"/>
        <v>10</v>
      </c>
      <c r="DR24" s="1">
        <f t="shared" si="107"/>
        <v>0</v>
      </c>
      <c r="DS24" s="1">
        <f t="shared" si="107"/>
        <v>10</v>
      </c>
      <c r="DT24" s="1">
        <f t="shared" si="107"/>
        <v>10</v>
      </c>
      <c r="DU24" s="1">
        <f t="shared" si="107"/>
        <v>10</v>
      </c>
      <c r="DV24" s="1">
        <f t="shared" si="107"/>
        <v>10</v>
      </c>
      <c r="DW24" s="1">
        <f t="shared" si="107"/>
        <v>10</v>
      </c>
      <c r="DX24" s="1">
        <f t="shared" si="107"/>
        <v>10</v>
      </c>
    </row>
    <row r="25" spans="2:128" ht="17" thickBot="1" x14ac:dyDescent="0.25">
      <c r="B25" s="1" t="s">
        <v>41</v>
      </c>
      <c r="C25" s="1">
        <f>IF(C22="Sun",0,10)</f>
        <v>0</v>
      </c>
      <c r="D25" s="1">
        <f t="shared" ref="D25:AB25" si="108">IF(D22="Sun",0,10)</f>
        <v>10</v>
      </c>
      <c r="E25" s="1">
        <f t="shared" si="108"/>
        <v>10</v>
      </c>
      <c r="F25" s="1">
        <f t="shared" si="108"/>
        <v>10</v>
      </c>
      <c r="G25" s="1">
        <f t="shared" si="108"/>
        <v>10</v>
      </c>
      <c r="H25" s="1">
        <f t="shared" si="108"/>
        <v>10</v>
      </c>
      <c r="I25" s="1">
        <f t="shared" si="108"/>
        <v>10</v>
      </c>
      <c r="J25" s="1">
        <f t="shared" si="108"/>
        <v>0</v>
      </c>
      <c r="K25" s="1">
        <f t="shared" si="108"/>
        <v>10</v>
      </c>
      <c r="L25" s="1">
        <f t="shared" si="108"/>
        <v>10</v>
      </c>
      <c r="M25" s="1">
        <f t="shared" si="108"/>
        <v>10</v>
      </c>
      <c r="N25" s="1">
        <f t="shared" si="108"/>
        <v>10</v>
      </c>
      <c r="O25" s="1">
        <f t="shared" si="108"/>
        <v>10</v>
      </c>
      <c r="P25" s="1">
        <f t="shared" si="108"/>
        <v>10</v>
      </c>
      <c r="Q25" s="1">
        <f t="shared" si="108"/>
        <v>0</v>
      </c>
      <c r="R25" s="1">
        <f t="shared" si="108"/>
        <v>10</v>
      </c>
      <c r="S25" s="1">
        <f t="shared" si="108"/>
        <v>10</v>
      </c>
      <c r="T25" s="1">
        <f t="shared" si="108"/>
        <v>10</v>
      </c>
      <c r="U25" s="1">
        <f t="shared" si="108"/>
        <v>10</v>
      </c>
      <c r="V25" s="1">
        <f t="shared" si="108"/>
        <v>10</v>
      </c>
      <c r="W25" s="1">
        <f t="shared" si="108"/>
        <v>10</v>
      </c>
      <c r="X25" s="1">
        <f t="shared" si="108"/>
        <v>0</v>
      </c>
      <c r="Y25" s="1">
        <f t="shared" si="108"/>
        <v>10</v>
      </c>
      <c r="Z25" s="1">
        <f t="shared" si="108"/>
        <v>10</v>
      </c>
      <c r="AA25" s="1">
        <f t="shared" si="108"/>
        <v>10</v>
      </c>
      <c r="AB25" s="1">
        <f t="shared" si="108"/>
        <v>10</v>
      </c>
      <c r="AC25" s="23">
        <v>0</v>
      </c>
      <c r="AD25" s="23">
        <v>0</v>
      </c>
      <c r="AE25" s="1">
        <f t="shared" si="106"/>
        <v>10</v>
      </c>
      <c r="AF25" s="1">
        <f t="shared" si="106"/>
        <v>10</v>
      </c>
      <c r="AG25" s="1">
        <f t="shared" si="106"/>
        <v>10</v>
      </c>
      <c r="AH25" s="1">
        <f t="shared" si="106"/>
        <v>10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1">
        <f t="shared" si="106"/>
        <v>10</v>
      </c>
      <c r="AQ25" s="1">
        <f t="shared" si="106"/>
        <v>10</v>
      </c>
      <c r="AR25" s="1">
        <f t="shared" si="106"/>
        <v>10</v>
      </c>
      <c r="AS25" s="1">
        <f t="shared" si="106"/>
        <v>10</v>
      </c>
      <c r="AT25" s="1">
        <f t="shared" si="106"/>
        <v>10</v>
      </c>
      <c r="AU25" s="1">
        <f t="shared" si="106"/>
        <v>10</v>
      </c>
      <c r="AV25" s="1">
        <f t="shared" si="106"/>
        <v>10</v>
      </c>
      <c r="AW25" s="1">
        <f t="shared" si="106"/>
        <v>10</v>
      </c>
      <c r="AX25" s="1">
        <f t="shared" si="106"/>
        <v>10</v>
      </c>
      <c r="AY25" s="1">
        <f t="shared" si="106"/>
        <v>10</v>
      </c>
      <c r="AZ25" s="1">
        <f t="shared" si="106"/>
        <v>10</v>
      </c>
      <c r="BA25" s="1">
        <f t="shared" si="106"/>
        <v>10</v>
      </c>
      <c r="BB25" s="1">
        <f t="shared" si="106"/>
        <v>10</v>
      </c>
      <c r="BC25" s="1">
        <f t="shared" si="106"/>
        <v>10</v>
      </c>
      <c r="BD25" s="1">
        <f t="shared" si="106"/>
        <v>10</v>
      </c>
      <c r="BE25" s="1">
        <f t="shared" si="106"/>
        <v>10</v>
      </c>
      <c r="BF25" s="1">
        <f t="shared" si="106"/>
        <v>10</v>
      </c>
      <c r="BG25" s="1">
        <f t="shared" si="106"/>
        <v>10</v>
      </c>
      <c r="BH25" s="1">
        <f t="shared" si="106"/>
        <v>10</v>
      </c>
      <c r="BI25" s="1">
        <f t="shared" si="106"/>
        <v>10</v>
      </c>
      <c r="BJ25" s="1">
        <f t="shared" si="106"/>
        <v>10</v>
      </c>
      <c r="BK25" s="1">
        <f t="shared" si="106"/>
        <v>10</v>
      </c>
      <c r="BL25" s="1">
        <f t="shared" si="106"/>
        <v>10</v>
      </c>
      <c r="BM25" s="1">
        <f t="shared" si="106"/>
        <v>10</v>
      </c>
      <c r="BN25" s="1">
        <f t="shared" si="106"/>
        <v>10</v>
      </c>
      <c r="BO25" s="1">
        <f t="shared" si="106"/>
        <v>10</v>
      </c>
      <c r="BP25" s="1">
        <f t="shared" si="106"/>
        <v>10</v>
      </c>
      <c r="BQ25" s="1">
        <f t="shared" si="106"/>
        <v>10</v>
      </c>
      <c r="BR25" s="1">
        <f t="shared" si="106"/>
        <v>10</v>
      </c>
      <c r="BS25" s="1">
        <f t="shared" si="106"/>
        <v>10</v>
      </c>
      <c r="BT25" s="1">
        <f t="shared" si="106"/>
        <v>10</v>
      </c>
      <c r="BU25" s="1">
        <f t="shared" si="106"/>
        <v>10</v>
      </c>
      <c r="BV25" s="1">
        <f t="shared" si="106"/>
        <v>10</v>
      </c>
      <c r="BW25" s="1">
        <f t="shared" si="106"/>
        <v>10</v>
      </c>
      <c r="BX25" s="1">
        <f t="shared" si="106"/>
        <v>10</v>
      </c>
      <c r="BY25" s="1">
        <f t="shared" si="106"/>
        <v>10</v>
      </c>
      <c r="BZ25" s="1">
        <f t="shared" si="107"/>
        <v>10</v>
      </c>
      <c r="CA25" s="1">
        <f t="shared" si="107"/>
        <v>10</v>
      </c>
      <c r="CB25" s="1">
        <f t="shared" si="107"/>
        <v>10</v>
      </c>
      <c r="CC25" s="1">
        <f t="shared" si="107"/>
        <v>10</v>
      </c>
      <c r="CD25" s="1">
        <f t="shared" si="107"/>
        <v>10</v>
      </c>
      <c r="CE25" s="1">
        <f t="shared" si="107"/>
        <v>10</v>
      </c>
      <c r="CF25" s="1">
        <f t="shared" si="107"/>
        <v>10</v>
      </c>
      <c r="CG25" s="1">
        <f t="shared" si="107"/>
        <v>10</v>
      </c>
      <c r="CH25" s="1">
        <f t="shared" si="107"/>
        <v>10</v>
      </c>
      <c r="CI25" s="1">
        <f t="shared" si="107"/>
        <v>10</v>
      </c>
      <c r="CJ25" s="1">
        <f t="shared" si="107"/>
        <v>10</v>
      </c>
      <c r="CK25" s="1">
        <f t="shared" si="107"/>
        <v>10</v>
      </c>
      <c r="CL25" s="1">
        <f t="shared" si="107"/>
        <v>10</v>
      </c>
      <c r="CM25" s="1">
        <f t="shared" si="107"/>
        <v>10</v>
      </c>
      <c r="CN25" s="1">
        <f t="shared" si="107"/>
        <v>10</v>
      </c>
      <c r="CO25" s="1">
        <f t="shared" si="107"/>
        <v>10</v>
      </c>
      <c r="CP25" s="1">
        <f t="shared" si="107"/>
        <v>10</v>
      </c>
      <c r="CQ25" s="1">
        <f t="shared" si="107"/>
        <v>10</v>
      </c>
      <c r="CR25" s="1">
        <f t="shared" si="107"/>
        <v>10</v>
      </c>
      <c r="CS25" s="1">
        <f t="shared" si="107"/>
        <v>10</v>
      </c>
      <c r="CT25" s="1">
        <f t="shared" si="107"/>
        <v>10</v>
      </c>
      <c r="CU25" s="1">
        <f t="shared" si="107"/>
        <v>10</v>
      </c>
      <c r="CV25" s="1">
        <f t="shared" si="107"/>
        <v>10</v>
      </c>
      <c r="CW25" s="1">
        <f t="shared" si="107"/>
        <v>10</v>
      </c>
      <c r="CX25" s="1">
        <f t="shared" si="107"/>
        <v>10</v>
      </c>
      <c r="CY25" s="1">
        <f t="shared" si="107"/>
        <v>10</v>
      </c>
      <c r="CZ25" s="1">
        <f t="shared" si="107"/>
        <v>10</v>
      </c>
      <c r="DA25" s="1">
        <f t="shared" si="107"/>
        <v>10</v>
      </c>
      <c r="DB25" s="1">
        <f t="shared" si="107"/>
        <v>10</v>
      </c>
      <c r="DC25" s="1">
        <f t="shared" si="107"/>
        <v>10</v>
      </c>
      <c r="DD25" s="1">
        <f t="shared" si="107"/>
        <v>10</v>
      </c>
      <c r="DE25" s="1">
        <f t="shared" si="107"/>
        <v>10</v>
      </c>
      <c r="DF25" s="1">
        <f t="shared" si="107"/>
        <v>10</v>
      </c>
      <c r="DG25" s="1">
        <f t="shared" si="107"/>
        <v>10</v>
      </c>
      <c r="DH25" s="1">
        <f t="shared" si="107"/>
        <v>10</v>
      </c>
      <c r="DI25" s="1">
        <f t="shared" si="107"/>
        <v>10</v>
      </c>
      <c r="DJ25" s="1">
        <f t="shared" si="107"/>
        <v>10</v>
      </c>
      <c r="DK25" s="1">
        <f t="shared" si="107"/>
        <v>10</v>
      </c>
      <c r="DL25" s="1">
        <f t="shared" si="107"/>
        <v>10</v>
      </c>
      <c r="DM25" s="1">
        <f t="shared" si="107"/>
        <v>10</v>
      </c>
      <c r="DN25" s="1">
        <f t="shared" si="107"/>
        <v>10</v>
      </c>
      <c r="DO25" s="1">
        <f t="shared" si="107"/>
        <v>10</v>
      </c>
      <c r="DP25" s="1">
        <f t="shared" si="107"/>
        <v>10</v>
      </c>
      <c r="DQ25" s="1">
        <f t="shared" si="107"/>
        <v>10</v>
      </c>
      <c r="DR25" s="1">
        <f t="shared" si="107"/>
        <v>10</v>
      </c>
      <c r="DS25" s="1">
        <f t="shared" si="107"/>
        <v>10</v>
      </c>
      <c r="DT25" s="1">
        <f t="shared" si="107"/>
        <v>10</v>
      </c>
      <c r="DU25" s="1">
        <f t="shared" si="107"/>
        <v>10</v>
      </c>
      <c r="DV25" s="1">
        <f t="shared" si="107"/>
        <v>10</v>
      </c>
      <c r="DW25" s="1">
        <f t="shared" si="107"/>
        <v>10</v>
      </c>
      <c r="DX25" s="1">
        <f t="shared" si="107"/>
        <v>10</v>
      </c>
    </row>
    <row r="26" spans="2:128" s="5" customFormat="1" x14ac:dyDescent="0.2">
      <c r="B26" s="8" t="s">
        <v>15</v>
      </c>
      <c r="C26" s="9"/>
      <c r="D26" s="9">
        <f>IF(D$22="Sun",C26,IF(D$21=$C$14,1,IF(D$21&lt;$C$14,0,C26+1)))</f>
        <v>0</v>
      </c>
      <c r="E26" s="9">
        <f>IF(E22="Sun",D26,IF(E21=$C$14,1,IF(E21&lt;$C$14,0,D26+1)))</f>
        <v>0</v>
      </c>
      <c r="F26" s="9">
        <f>IF(F22="Sun",E26,IF(F21=$C$14,1,IF(F21&lt;$C$14,0,E26+1)))</f>
        <v>0</v>
      </c>
      <c r="G26" s="9">
        <f>IF(G22="Sun",F26,IF(G21=$C$14,1,IF(G21&lt;$C$14,0,F26+1)))</f>
        <v>1</v>
      </c>
      <c r="H26" s="9">
        <f>IF(H22="Sun",G26,IF(H21=$C$14,1,IF(H21&lt;$C$14,0,G26+1)))</f>
        <v>2</v>
      </c>
      <c r="I26" s="9">
        <f>IF(I22="Sun",H26,IF(I21=$C$14,1,IF(I21&lt;$C$14,0,H26+1)))</f>
        <v>3</v>
      </c>
      <c r="J26" s="9">
        <f>IF(J22="Sun",I26,IF(J21=$C$14,1,IF(J21&lt;$C$14,0,I26+1)))</f>
        <v>3</v>
      </c>
      <c r="K26" s="9">
        <f>IF(K22="Sun",J26,IF(K21=$C$14,1,IF(K21&lt;$C$14,0,J26+1)))</f>
        <v>4</v>
      </c>
      <c r="L26" s="9">
        <f>IF(L22="Sun",K26,IF(L21=$C$14,1,IF(L21&lt;$C$14,0,K26+1)))</f>
        <v>5</v>
      </c>
      <c r="M26" s="9">
        <f>IF(M22="Sun",L26,IF(M21=$C$14,1,IF(M21&lt;$C$14,0,L26+1)))</f>
        <v>6</v>
      </c>
      <c r="N26" s="9">
        <f>IF(N22="Sun",M26,IF(N21=$C$14,1,IF(N21&lt;$C$14,0,M26+1)))</f>
        <v>7</v>
      </c>
      <c r="O26" s="9">
        <f>IF(O22="Sun",N26,IF(O21=$C$14,1,IF(O21&lt;$C$14,0,N26+1)))</f>
        <v>8</v>
      </c>
      <c r="P26" s="9">
        <f>IF(P22="Sun",O26,IF(P21=$C$14,1,IF(P21&lt;$C$14,0,O26+1)))</f>
        <v>9</v>
      </c>
      <c r="Q26" s="9">
        <f>IF(Q22="Sun",P26,IF(Q21=$C$14,1,IF(Q21&lt;$C$14,0,P26+1)))</f>
        <v>9</v>
      </c>
      <c r="R26" s="9">
        <f>IF(R22="Sun",Q26,IF(R21=$C$14,1,IF(R21&lt;$C$14,0,Q26+1)))</f>
        <v>10</v>
      </c>
      <c r="S26" s="9">
        <f>IF(S22="Sun",R26,IF(S21=$C$14,1,IF(S21&lt;$C$14,0,R26+1)))</f>
        <v>11</v>
      </c>
      <c r="T26" s="9">
        <f>IF(T22="Sun",S26,IF(T21=$C$14,1,IF(T21&lt;$C$14,0,S26+1)))</f>
        <v>12</v>
      </c>
      <c r="U26" s="9">
        <f>IF(U22="Sun",T26,IF(U21=$C$14,1,IF(U21&lt;$C$14,0,T26+1)))</f>
        <v>13</v>
      </c>
      <c r="V26" s="9">
        <f>IF(V22="Sun",U26,IF(V21=$C$14,1,IF(V21&lt;$C$14,0,U26+1)))</f>
        <v>14</v>
      </c>
      <c r="W26" s="9">
        <f>IF(W22="Sun",V26,IF(W21=$C$14,1,IF(W21&lt;$C$14,0,V26+1)))</f>
        <v>15</v>
      </c>
      <c r="X26" s="9">
        <f>IF(X22="Sun",W26,IF(X21=$C$14,1,IF(X21&lt;$C$14,0,W26+1)))</f>
        <v>15</v>
      </c>
      <c r="Y26" s="9">
        <f>IF(Y22="Sun",X26,IF(Y21=$C$14,1,IF(Y21&lt;$C$14,0,X26+1)))</f>
        <v>16</v>
      </c>
      <c r="Z26" s="9">
        <f>IF(Z22="Sun",Y26,IF(Z21=$C$14,1,IF(Z21&lt;$C$14,0,Y26+1)))</f>
        <v>17</v>
      </c>
      <c r="AA26" s="9">
        <f>IF(AA22="Sun",Z26,IF(AA21=$C$14,1,IF(AA21&lt;$C$14,0,Z26+1)))</f>
        <v>18</v>
      </c>
      <c r="AB26" s="9">
        <f>IF(AB22="Sun",AA26,IF(AB21=$C$14,1,IF(AB21&lt;$C$14,0,AA26+1)))</f>
        <v>19</v>
      </c>
      <c r="AC26" s="26">
        <f>AB26</f>
        <v>19</v>
      </c>
      <c r="AD26" s="26">
        <f>AC26</f>
        <v>19</v>
      </c>
      <c r="AE26" s="26">
        <f>AD26</f>
        <v>19</v>
      </c>
      <c r="AF26" s="9">
        <f>IF(AF22="Sun",AE26,IF(AF21=$C$14,1,IF(AF21&lt;$C$14,0,AE26+1)))</f>
        <v>20</v>
      </c>
      <c r="AG26" s="9">
        <f>IF(AG22="Sun",AF26,IF(AG21=$C$14,1,IF(AG21&lt;$C$14,0,AF26+1)))</f>
        <v>21</v>
      </c>
      <c r="AH26" s="9">
        <f>IF(AH22="Sun",AG26,IF(AH21=$C$14,1,IF(AH21&lt;$C$14,0,AG26+1)))</f>
        <v>22</v>
      </c>
      <c r="AI26" s="26">
        <f t="shared" ref="AI26:AO26" si="109">AH26</f>
        <v>22</v>
      </c>
      <c r="AJ26" s="26">
        <f t="shared" si="109"/>
        <v>22</v>
      </c>
      <c r="AK26" s="26">
        <f t="shared" si="109"/>
        <v>22</v>
      </c>
      <c r="AL26" s="26">
        <f t="shared" si="109"/>
        <v>22</v>
      </c>
      <c r="AM26" s="26">
        <f t="shared" si="109"/>
        <v>22</v>
      </c>
      <c r="AN26" s="26">
        <f t="shared" si="109"/>
        <v>22</v>
      </c>
      <c r="AO26" s="26">
        <f t="shared" si="109"/>
        <v>22</v>
      </c>
      <c r="AP26" s="9">
        <f>IF(AP22="Sun",AO26,IF(AP21=$C$14,1,IF(AP21&lt;$C$14,0,AO26+1)))</f>
        <v>23</v>
      </c>
      <c r="AQ26" s="9">
        <f>IF(AQ22="Sun",AP26,IF(AQ21=$C$14,1,IF(AQ21&lt;$C$14,0,AP26+1)))</f>
        <v>24</v>
      </c>
      <c r="AR26" s="9">
        <f>IF(AR22="Sun",AQ26,IF(AR21=$C$14,1,IF(AR21&lt;$C$14,0,AQ26+1)))</f>
        <v>25</v>
      </c>
      <c r="AS26" s="9">
        <f>IF(AS22="Sun",AR26,IF(AS21=$C$14,1,IF(AS21&lt;$C$14,0,AR26+1)))</f>
        <v>25</v>
      </c>
      <c r="AT26" s="9">
        <f>IF(AT22="Sun",AS26,IF(AT21=$C$14,1,IF(AT21&lt;$C$14,0,AS26+1)))</f>
        <v>26</v>
      </c>
      <c r="AU26" s="9">
        <f>IF(AU22="Sun",AT26,IF(AU21=$C$14,1,IF(AU21&lt;$C$14,0,AT26+1)))</f>
        <v>27</v>
      </c>
      <c r="AV26" s="9">
        <f>IF(AV22="Sun",AU26,IF(AV21=$C$14,1,IF(AV21&lt;$C$14,0,AU26+1)))</f>
        <v>28</v>
      </c>
      <c r="AW26" s="9">
        <f>IF(AW22="Sun",AV26,IF(AW21=$C$14,1,IF(AW21&lt;$C$14,0,AV26+1)))</f>
        <v>29</v>
      </c>
      <c r="AX26" s="9">
        <f>IF(AX22="Sun",AW26,IF(AX21=$C$14,1,IF(AX21&lt;$C$14,0,AW26+1)))</f>
        <v>30</v>
      </c>
      <c r="AY26" s="9">
        <f>IF(AY22="Sun",AX26,IF(AY21=$C$14,1,IF(AY21&lt;$C$14,0,AX26+1)))</f>
        <v>31</v>
      </c>
      <c r="AZ26" s="9">
        <f>IF(AZ22="Sun",AY26,IF(AZ21=$C$14,1,IF(AZ21&lt;$C$14,0,AY26+1)))</f>
        <v>31</v>
      </c>
      <c r="BA26" s="9">
        <f>IF(BA22="Sun",AZ26,IF(BA21=$C$14,1,IF(BA21&lt;$C$14,0,AZ26+1)))</f>
        <v>32</v>
      </c>
      <c r="BB26" s="9">
        <f>IF(BB22="Sun",BA26,IF(BB21=$C$14,1,IF(BB21&lt;$C$14,0,BA26+1)))</f>
        <v>33</v>
      </c>
      <c r="BC26" s="9">
        <f>IF(BC22="Sun",BB26,IF(BC21=$C$14,1,IF(BC21&lt;$C$14,0,BB26+1)))</f>
        <v>34</v>
      </c>
      <c r="BD26" s="9">
        <f>IF(BD22="Sun",BC26,IF(BD21=$C$14,1,IF(BD21&lt;$C$14,0,BC26+1)))</f>
        <v>35</v>
      </c>
      <c r="BE26" s="9">
        <f>IF(BE22="Sun",BD26,IF(BE21=$C$14,1,IF(BE21&lt;$C$14,0,BD26+1)))</f>
        <v>36</v>
      </c>
      <c r="BF26" s="9">
        <f>IF(BF22="Sun",BE26,IF(BF21=$C$14,1,IF(BF21&lt;$C$14,0,BE26+1)))</f>
        <v>37</v>
      </c>
      <c r="BG26" s="9">
        <f>IF(BG22="Sun",BF26,IF(BG21=$C$14,1,IF(BG21&lt;$C$14,0,BF26+1)))</f>
        <v>37</v>
      </c>
      <c r="BH26" s="9">
        <f>IF(BH22="Sun",BG26,IF(BH21=$C$14,1,IF(BH21&lt;$C$14,0,BG26+1)))</f>
        <v>38</v>
      </c>
      <c r="BI26" s="9">
        <f>IF(BI22="Sun",BH26,IF(BI21=$C$14,1,IF(BI21&lt;$C$14,0,BH26+1)))</f>
        <v>39</v>
      </c>
      <c r="BJ26" s="9">
        <f>IF(BJ22="Sun",BI26,IF(BJ21=$C$14,1,IF(BJ21&lt;$C$14,0,BI26+1)))</f>
        <v>40</v>
      </c>
      <c r="BK26" s="9">
        <f>IF(BK22="Sun",BJ26,IF(BK21=$C$14,1,IF(BK21&lt;$C$14,0,BJ26+1)))</f>
        <v>41</v>
      </c>
      <c r="BL26" s="9">
        <f>IF(BL22="Sun",BK26,IF(BL21=$C$14,1,IF(BL21&lt;$C$14,0,BK26+1)))</f>
        <v>42</v>
      </c>
      <c r="BM26" s="9">
        <f>IF(BM22="Sun",BL26,IF(BM21=$C$14,1,IF(BM21&lt;$C$14,0,BL26+1)))</f>
        <v>43</v>
      </c>
      <c r="BN26" s="9">
        <f>IF(BN22="Sun",BM26,IF(BN21=$C$14,1,IF(BN21&lt;$C$14,0,BM26+1)))</f>
        <v>43</v>
      </c>
      <c r="BO26" s="9">
        <f>IF(BO22="Sun",BN26,IF(BO21=$C$14,1,IF(BO21&lt;$C$14,0,BN26+1)))</f>
        <v>44</v>
      </c>
      <c r="BP26" s="9">
        <f>IF(BP22="Sun",BO26,IF(BP21=$C$14,1,IF(BP21&lt;$C$14,0,BO26+1)))</f>
        <v>45</v>
      </c>
      <c r="BQ26" s="9">
        <f t="shared" ref="BQ26:DX26" si="110">IF(BQ22="Sun",BP26,IF(BQ21=$C$14,1,IF(BQ21&lt;$C$14,0,BP26+1)))</f>
        <v>46</v>
      </c>
      <c r="BR26" s="9">
        <f t="shared" si="110"/>
        <v>47</v>
      </c>
      <c r="BS26" s="9">
        <f t="shared" si="110"/>
        <v>48</v>
      </c>
      <c r="BT26" s="9">
        <f t="shared" si="110"/>
        <v>49</v>
      </c>
      <c r="BU26" s="9">
        <f t="shared" si="110"/>
        <v>49</v>
      </c>
      <c r="BV26" s="9">
        <f t="shared" si="110"/>
        <v>50</v>
      </c>
      <c r="BW26" s="9">
        <f t="shared" si="110"/>
        <v>51</v>
      </c>
      <c r="BX26" s="9">
        <f t="shared" si="110"/>
        <v>52</v>
      </c>
      <c r="BY26" s="9">
        <f t="shared" si="110"/>
        <v>53</v>
      </c>
      <c r="BZ26" s="9">
        <f t="shared" si="110"/>
        <v>54</v>
      </c>
      <c r="CA26" s="9">
        <f t="shared" si="110"/>
        <v>55</v>
      </c>
      <c r="CB26" s="9">
        <f t="shared" si="110"/>
        <v>55</v>
      </c>
      <c r="CC26" s="9">
        <f t="shared" si="110"/>
        <v>56</v>
      </c>
      <c r="CD26" s="9">
        <f t="shared" si="110"/>
        <v>57</v>
      </c>
      <c r="CE26" s="9">
        <f t="shared" si="110"/>
        <v>58</v>
      </c>
      <c r="CF26" s="9">
        <f t="shared" si="110"/>
        <v>59</v>
      </c>
      <c r="CG26" s="9">
        <f t="shared" si="110"/>
        <v>60</v>
      </c>
      <c r="CH26" s="9">
        <f t="shared" si="110"/>
        <v>61</v>
      </c>
      <c r="CI26" s="9">
        <f t="shared" si="110"/>
        <v>61</v>
      </c>
      <c r="CJ26" s="9">
        <f t="shared" si="110"/>
        <v>62</v>
      </c>
      <c r="CK26" s="9">
        <f t="shared" si="110"/>
        <v>63</v>
      </c>
      <c r="CL26" s="9">
        <f t="shared" si="110"/>
        <v>64</v>
      </c>
      <c r="CM26" s="9">
        <f t="shared" si="110"/>
        <v>65</v>
      </c>
      <c r="CN26" s="9">
        <f t="shared" si="110"/>
        <v>66</v>
      </c>
      <c r="CO26" s="9">
        <f t="shared" si="110"/>
        <v>67</v>
      </c>
      <c r="CP26" s="9">
        <f t="shared" si="110"/>
        <v>67</v>
      </c>
      <c r="CQ26" s="9">
        <f t="shared" si="110"/>
        <v>68</v>
      </c>
      <c r="CR26" s="9">
        <f t="shared" si="110"/>
        <v>69</v>
      </c>
      <c r="CS26" s="9">
        <f t="shared" si="110"/>
        <v>70</v>
      </c>
      <c r="CT26" s="9">
        <f t="shared" si="110"/>
        <v>71</v>
      </c>
      <c r="CU26" s="9">
        <f t="shared" si="110"/>
        <v>72</v>
      </c>
      <c r="CV26" s="9">
        <f t="shared" si="110"/>
        <v>73</v>
      </c>
      <c r="CW26" s="9">
        <f t="shared" si="110"/>
        <v>73</v>
      </c>
      <c r="CX26" s="9">
        <f t="shared" si="110"/>
        <v>74</v>
      </c>
      <c r="CY26" s="9">
        <f t="shared" si="110"/>
        <v>75</v>
      </c>
      <c r="CZ26" s="9">
        <f t="shared" si="110"/>
        <v>76</v>
      </c>
      <c r="DA26" s="9">
        <f t="shared" si="110"/>
        <v>77</v>
      </c>
      <c r="DB26" s="9">
        <f t="shared" si="110"/>
        <v>78</v>
      </c>
      <c r="DC26" s="9">
        <f t="shared" si="110"/>
        <v>79</v>
      </c>
      <c r="DD26" s="9">
        <f t="shared" si="110"/>
        <v>79</v>
      </c>
      <c r="DE26" s="9">
        <f t="shared" si="110"/>
        <v>80</v>
      </c>
      <c r="DF26" s="9">
        <f t="shared" si="110"/>
        <v>81</v>
      </c>
      <c r="DG26" s="9">
        <f t="shared" si="110"/>
        <v>82</v>
      </c>
      <c r="DH26" s="9">
        <f t="shared" si="110"/>
        <v>83</v>
      </c>
      <c r="DI26" s="9">
        <f t="shared" si="110"/>
        <v>84</v>
      </c>
      <c r="DJ26" s="9">
        <f t="shared" si="110"/>
        <v>85</v>
      </c>
      <c r="DK26" s="9">
        <f t="shared" si="110"/>
        <v>85</v>
      </c>
      <c r="DL26" s="9">
        <f t="shared" si="110"/>
        <v>86</v>
      </c>
      <c r="DM26" s="9">
        <f t="shared" si="110"/>
        <v>87</v>
      </c>
      <c r="DN26" s="9">
        <f t="shared" si="110"/>
        <v>88</v>
      </c>
      <c r="DO26" s="9">
        <f t="shared" si="110"/>
        <v>89</v>
      </c>
      <c r="DP26" s="9">
        <f t="shared" si="110"/>
        <v>90</v>
      </c>
      <c r="DQ26" s="9">
        <f t="shared" si="110"/>
        <v>91</v>
      </c>
      <c r="DR26" s="9">
        <f t="shared" si="110"/>
        <v>91</v>
      </c>
      <c r="DS26" s="9">
        <f t="shared" si="110"/>
        <v>92</v>
      </c>
      <c r="DT26" s="9">
        <f t="shared" si="110"/>
        <v>93</v>
      </c>
      <c r="DU26" s="9">
        <f t="shared" si="110"/>
        <v>94</v>
      </c>
      <c r="DV26" s="9">
        <f t="shared" si="110"/>
        <v>95</v>
      </c>
      <c r="DW26" s="9">
        <f t="shared" ref="DW26" si="111">IF(DW22="Sun",DV26,IF(DW21=$C$14,1,IF(DW21&lt;$C$14,0,DV26+1)))</f>
        <v>96</v>
      </c>
      <c r="DX26" s="10">
        <f t="shared" si="110"/>
        <v>97</v>
      </c>
    </row>
    <row r="27" spans="2:128" x14ac:dyDescent="0.2">
      <c r="B27" s="11" t="s">
        <v>16</v>
      </c>
      <c r="D27" s="1">
        <f>IF(D26&gt;$D$17,$C$17,HLOOKUP(D26,$16:$17,2,0))</f>
        <v>0</v>
      </c>
      <c r="E27" s="1">
        <f t="shared" ref="E27:BP27" si="112">IF(E26&gt;$D$17,$C$17,HLOOKUP(E26,$16:$17,2,0))</f>
        <v>0</v>
      </c>
      <c r="F27" s="1">
        <f t="shared" si="112"/>
        <v>0</v>
      </c>
      <c r="G27" s="1">
        <f t="shared" si="112"/>
        <v>0.5</v>
      </c>
      <c r="H27" s="1">
        <f t="shared" si="112"/>
        <v>0.52</v>
      </c>
      <c r="I27" s="1">
        <f t="shared" si="112"/>
        <v>0.53</v>
      </c>
      <c r="J27" s="1">
        <f t="shared" si="112"/>
        <v>0.53</v>
      </c>
      <c r="K27" s="1">
        <f t="shared" si="112"/>
        <v>0.55000000000000004</v>
      </c>
      <c r="L27" s="1">
        <f t="shared" si="112"/>
        <v>0.56999999999999995</v>
      </c>
      <c r="M27" s="1">
        <f t="shared" si="112"/>
        <v>0.59</v>
      </c>
      <c r="N27" s="1">
        <f t="shared" si="112"/>
        <v>0.6</v>
      </c>
      <c r="O27" s="1">
        <f t="shared" si="112"/>
        <v>0.62</v>
      </c>
      <c r="P27" s="1">
        <f t="shared" si="112"/>
        <v>0.64</v>
      </c>
      <c r="Q27" s="1">
        <f t="shared" si="112"/>
        <v>0.64</v>
      </c>
      <c r="R27" s="1">
        <f t="shared" si="112"/>
        <v>0.66</v>
      </c>
      <c r="S27" s="1">
        <f t="shared" si="112"/>
        <v>0.67</v>
      </c>
      <c r="T27" s="1">
        <f t="shared" si="112"/>
        <v>0.69</v>
      </c>
      <c r="U27" s="1">
        <f t="shared" si="112"/>
        <v>0.71</v>
      </c>
      <c r="V27" s="1">
        <f t="shared" si="112"/>
        <v>0.72</v>
      </c>
      <c r="W27" s="1">
        <f t="shared" si="112"/>
        <v>0.74</v>
      </c>
      <c r="X27" s="1">
        <f t="shared" si="112"/>
        <v>0.74</v>
      </c>
      <c r="Y27" s="1">
        <f t="shared" si="112"/>
        <v>0.76</v>
      </c>
      <c r="Z27" s="1">
        <f t="shared" si="112"/>
        <v>0.78</v>
      </c>
      <c r="AA27" s="1">
        <f t="shared" si="112"/>
        <v>0.79</v>
      </c>
      <c r="AB27" s="1">
        <f t="shared" si="112"/>
        <v>0.81</v>
      </c>
      <c r="AC27" s="1">
        <f t="shared" si="112"/>
        <v>0.81</v>
      </c>
      <c r="AD27" s="1">
        <f t="shared" si="112"/>
        <v>0.81</v>
      </c>
      <c r="AE27" s="1">
        <f t="shared" si="112"/>
        <v>0.81</v>
      </c>
      <c r="AF27" s="1">
        <f t="shared" si="112"/>
        <v>0.83</v>
      </c>
      <c r="AG27" s="1">
        <f t="shared" si="112"/>
        <v>0.84</v>
      </c>
      <c r="AH27" s="1">
        <f t="shared" si="112"/>
        <v>0.86</v>
      </c>
      <c r="AI27" s="1">
        <f t="shared" si="112"/>
        <v>0.86</v>
      </c>
      <c r="AJ27" s="1">
        <f t="shared" si="112"/>
        <v>0.86</v>
      </c>
      <c r="AK27" s="1">
        <f t="shared" si="112"/>
        <v>0.86</v>
      </c>
      <c r="AL27" s="1">
        <f t="shared" si="112"/>
        <v>0.86</v>
      </c>
      <c r="AM27" s="1">
        <f t="shared" si="112"/>
        <v>0.86</v>
      </c>
      <c r="AN27" s="1">
        <f t="shared" si="112"/>
        <v>0.86</v>
      </c>
      <c r="AO27" s="1">
        <f t="shared" si="112"/>
        <v>0.86</v>
      </c>
      <c r="AP27" s="1">
        <f t="shared" si="112"/>
        <v>0.88</v>
      </c>
      <c r="AQ27" s="1">
        <f t="shared" si="112"/>
        <v>0.9</v>
      </c>
      <c r="AR27" s="1">
        <f t="shared" si="112"/>
        <v>0.91</v>
      </c>
      <c r="AS27" s="1">
        <f t="shared" si="112"/>
        <v>0.91</v>
      </c>
      <c r="AT27" s="1">
        <f t="shared" si="112"/>
        <v>0.93</v>
      </c>
      <c r="AU27" s="1">
        <f t="shared" si="112"/>
        <v>0.95</v>
      </c>
      <c r="AV27" s="1">
        <f t="shared" si="112"/>
        <v>0.97</v>
      </c>
      <c r="AW27" s="1">
        <f t="shared" si="112"/>
        <v>0.98</v>
      </c>
      <c r="AX27" s="1">
        <f t="shared" si="112"/>
        <v>1</v>
      </c>
      <c r="AY27" s="1">
        <f t="shared" si="112"/>
        <v>1</v>
      </c>
      <c r="AZ27" s="1">
        <f t="shared" si="112"/>
        <v>1</v>
      </c>
      <c r="BA27" s="1">
        <f t="shared" si="112"/>
        <v>1</v>
      </c>
      <c r="BB27" s="1">
        <f t="shared" si="112"/>
        <v>1</v>
      </c>
      <c r="BC27" s="1">
        <f t="shared" si="112"/>
        <v>1</v>
      </c>
      <c r="BD27" s="1">
        <f t="shared" si="112"/>
        <v>1</v>
      </c>
      <c r="BE27" s="1">
        <f t="shared" si="112"/>
        <v>1</v>
      </c>
      <c r="BF27" s="1">
        <f t="shared" si="112"/>
        <v>1</v>
      </c>
      <c r="BG27" s="1">
        <f t="shared" si="112"/>
        <v>1</v>
      </c>
      <c r="BH27" s="1">
        <f t="shared" si="112"/>
        <v>1</v>
      </c>
      <c r="BI27" s="1">
        <f t="shared" si="112"/>
        <v>1</v>
      </c>
      <c r="BJ27" s="1">
        <f t="shared" si="112"/>
        <v>1</v>
      </c>
      <c r="BK27" s="1">
        <f t="shared" si="112"/>
        <v>1</v>
      </c>
      <c r="BL27" s="1">
        <f t="shared" si="112"/>
        <v>1</v>
      </c>
      <c r="BM27" s="1">
        <f t="shared" si="112"/>
        <v>1</v>
      </c>
      <c r="BN27" s="1">
        <f t="shared" si="112"/>
        <v>1</v>
      </c>
      <c r="BO27" s="1">
        <f t="shared" si="112"/>
        <v>1</v>
      </c>
      <c r="BP27" s="1">
        <f t="shared" si="112"/>
        <v>1</v>
      </c>
      <c r="BQ27" s="1">
        <f t="shared" ref="BQ27:DX27" si="113">IF(BQ26&gt;$D$17,$C$17,HLOOKUP(BQ26,$16:$17,2,0))</f>
        <v>1</v>
      </c>
      <c r="BR27" s="1">
        <f t="shared" si="113"/>
        <v>1</v>
      </c>
      <c r="BS27" s="1">
        <f t="shared" si="113"/>
        <v>1</v>
      </c>
      <c r="BT27" s="1">
        <f t="shared" si="113"/>
        <v>1</v>
      </c>
      <c r="BU27" s="1">
        <f t="shared" si="113"/>
        <v>1</v>
      </c>
      <c r="BV27" s="1">
        <f t="shared" si="113"/>
        <v>1</v>
      </c>
      <c r="BW27" s="1">
        <f t="shared" si="113"/>
        <v>1</v>
      </c>
      <c r="BX27" s="1">
        <f t="shared" si="113"/>
        <v>1</v>
      </c>
      <c r="BY27" s="1">
        <f t="shared" si="113"/>
        <v>1</v>
      </c>
      <c r="BZ27" s="1">
        <f t="shared" si="113"/>
        <v>1</v>
      </c>
      <c r="CA27" s="1">
        <f t="shared" si="113"/>
        <v>1</v>
      </c>
      <c r="CB27" s="1">
        <f t="shared" si="113"/>
        <v>1</v>
      </c>
      <c r="CC27" s="1">
        <f t="shared" si="113"/>
        <v>1</v>
      </c>
      <c r="CD27" s="1">
        <f t="shared" si="113"/>
        <v>1</v>
      </c>
      <c r="CE27" s="1">
        <f t="shared" si="113"/>
        <v>1</v>
      </c>
      <c r="CF27" s="1">
        <f t="shared" si="113"/>
        <v>1</v>
      </c>
      <c r="CG27" s="1">
        <f t="shared" si="113"/>
        <v>1</v>
      </c>
      <c r="CH27" s="1">
        <f t="shared" si="113"/>
        <v>1</v>
      </c>
      <c r="CI27" s="1">
        <f t="shared" si="113"/>
        <v>1</v>
      </c>
      <c r="CJ27" s="1">
        <f t="shared" si="113"/>
        <v>1</v>
      </c>
      <c r="CK27" s="1">
        <f t="shared" si="113"/>
        <v>1</v>
      </c>
      <c r="CL27" s="1">
        <f t="shared" si="113"/>
        <v>1</v>
      </c>
      <c r="CM27" s="1">
        <f t="shared" si="113"/>
        <v>1</v>
      </c>
      <c r="CN27" s="1">
        <f t="shared" si="113"/>
        <v>1</v>
      </c>
      <c r="CO27" s="1">
        <f t="shared" si="113"/>
        <v>1</v>
      </c>
      <c r="CP27" s="1">
        <f t="shared" si="113"/>
        <v>1</v>
      </c>
      <c r="CQ27" s="1">
        <f t="shared" si="113"/>
        <v>1</v>
      </c>
      <c r="CR27" s="1">
        <f t="shared" si="113"/>
        <v>1</v>
      </c>
      <c r="CS27" s="1">
        <f t="shared" si="113"/>
        <v>1</v>
      </c>
      <c r="CT27" s="1">
        <f t="shared" si="113"/>
        <v>1</v>
      </c>
      <c r="CU27" s="1">
        <f t="shared" si="113"/>
        <v>1</v>
      </c>
      <c r="CV27" s="1">
        <f t="shared" si="113"/>
        <v>1</v>
      </c>
      <c r="CW27" s="1">
        <f t="shared" si="113"/>
        <v>1</v>
      </c>
      <c r="CX27" s="1">
        <f t="shared" si="113"/>
        <v>1</v>
      </c>
      <c r="CY27" s="1">
        <f t="shared" si="113"/>
        <v>1</v>
      </c>
      <c r="CZ27" s="1">
        <f t="shared" si="113"/>
        <v>1</v>
      </c>
      <c r="DA27" s="1">
        <f t="shared" si="113"/>
        <v>1</v>
      </c>
      <c r="DB27" s="1">
        <f t="shared" si="113"/>
        <v>1</v>
      </c>
      <c r="DC27" s="1">
        <f t="shared" si="113"/>
        <v>1</v>
      </c>
      <c r="DD27" s="1">
        <f t="shared" si="113"/>
        <v>1</v>
      </c>
      <c r="DE27" s="1">
        <f t="shared" si="113"/>
        <v>1</v>
      </c>
      <c r="DF27" s="1">
        <f t="shared" si="113"/>
        <v>1</v>
      </c>
      <c r="DG27" s="1">
        <f t="shared" si="113"/>
        <v>1</v>
      </c>
      <c r="DH27" s="1">
        <f t="shared" si="113"/>
        <v>1</v>
      </c>
      <c r="DI27" s="1">
        <f t="shared" si="113"/>
        <v>1</v>
      </c>
      <c r="DJ27" s="1">
        <f t="shared" si="113"/>
        <v>1</v>
      </c>
      <c r="DK27" s="1">
        <f t="shared" si="113"/>
        <v>1</v>
      </c>
      <c r="DL27" s="1">
        <f t="shared" si="113"/>
        <v>1</v>
      </c>
      <c r="DM27" s="1">
        <f t="shared" si="113"/>
        <v>1</v>
      </c>
      <c r="DN27" s="1">
        <f t="shared" si="113"/>
        <v>1</v>
      </c>
      <c r="DO27" s="1">
        <f t="shared" si="113"/>
        <v>1</v>
      </c>
      <c r="DP27" s="1">
        <f t="shared" si="113"/>
        <v>1</v>
      </c>
      <c r="DQ27" s="1">
        <f t="shared" si="113"/>
        <v>1</v>
      </c>
      <c r="DR27" s="1">
        <f t="shared" si="113"/>
        <v>1</v>
      </c>
      <c r="DS27" s="1">
        <f t="shared" si="113"/>
        <v>1</v>
      </c>
      <c r="DT27" s="1">
        <f t="shared" si="113"/>
        <v>1</v>
      </c>
      <c r="DU27" s="1">
        <f t="shared" si="113"/>
        <v>1</v>
      </c>
      <c r="DV27" s="1">
        <f t="shared" si="113"/>
        <v>1</v>
      </c>
      <c r="DW27" s="1">
        <f t="shared" si="113"/>
        <v>1</v>
      </c>
      <c r="DX27" s="12">
        <f t="shared" si="113"/>
        <v>1</v>
      </c>
    </row>
    <row r="28" spans="2:128" ht="17" thickBot="1" x14ac:dyDescent="0.25">
      <c r="B28" s="13" t="s">
        <v>17</v>
      </c>
      <c r="C28" s="14"/>
      <c r="D28" s="15">
        <f>IF(D26&gt;$D$18,$C$18,HLOOKUP(D26,$16:$18,3,0))</f>
        <v>0</v>
      </c>
      <c r="E28" s="15">
        <f t="shared" ref="E28:BP28" si="114">IF(E26&gt;$D$18,$C$18,HLOOKUP(E26,$16:$18,3,0))</f>
        <v>0</v>
      </c>
      <c r="F28" s="15">
        <f t="shared" si="114"/>
        <v>0</v>
      </c>
      <c r="G28" s="15">
        <f t="shared" si="114"/>
        <v>0.7</v>
      </c>
      <c r="H28" s="15">
        <f t="shared" si="114"/>
        <v>0.7097</v>
      </c>
      <c r="I28" s="15">
        <f t="shared" si="114"/>
        <v>0.71930000000000005</v>
      </c>
      <c r="J28" s="15">
        <f t="shared" si="114"/>
        <v>0.71930000000000005</v>
      </c>
      <c r="K28" s="15">
        <f t="shared" si="114"/>
        <v>0.72899999999999998</v>
      </c>
      <c r="L28" s="15">
        <f t="shared" si="114"/>
        <v>0.73860000000000003</v>
      </c>
      <c r="M28" s="15">
        <f t="shared" si="114"/>
        <v>0.74829999999999997</v>
      </c>
      <c r="N28" s="15">
        <f t="shared" si="114"/>
        <v>0.75790000000000002</v>
      </c>
      <c r="O28" s="15">
        <f t="shared" si="114"/>
        <v>0.76759999999999995</v>
      </c>
      <c r="P28" s="15">
        <f t="shared" si="114"/>
        <v>0.7772</v>
      </c>
      <c r="Q28" s="15">
        <f t="shared" si="114"/>
        <v>0.7772</v>
      </c>
      <c r="R28" s="15">
        <f t="shared" si="114"/>
        <v>0.78690000000000004</v>
      </c>
      <c r="S28" s="15">
        <f t="shared" si="114"/>
        <v>0.79659999999999997</v>
      </c>
      <c r="T28" s="15">
        <f t="shared" si="114"/>
        <v>0.80620000000000003</v>
      </c>
      <c r="U28" s="15">
        <f t="shared" si="114"/>
        <v>0.81589999999999996</v>
      </c>
      <c r="V28" s="15">
        <f t="shared" si="114"/>
        <v>0.82550000000000001</v>
      </c>
      <c r="W28" s="15">
        <f t="shared" si="114"/>
        <v>0.83520000000000005</v>
      </c>
      <c r="X28" s="15">
        <f t="shared" si="114"/>
        <v>0.83520000000000005</v>
      </c>
      <c r="Y28" s="15">
        <f t="shared" si="114"/>
        <v>0.8448</v>
      </c>
      <c r="Z28" s="15">
        <f t="shared" si="114"/>
        <v>0.85450000000000004</v>
      </c>
      <c r="AA28" s="15">
        <f t="shared" si="114"/>
        <v>0.86409999999999998</v>
      </c>
      <c r="AB28" s="15">
        <f t="shared" si="114"/>
        <v>0.87380000000000002</v>
      </c>
      <c r="AC28" s="15">
        <f t="shared" si="114"/>
        <v>0.87380000000000002</v>
      </c>
      <c r="AD28" s="15">
        <f t="shared" si="114"/>
        <v>0.87380000000000002</v>
      </c>
      <c r="AE28" s="15">
        <f t="shared" si="114"/>
        <v>0.87380000000000002</v>
      </c>
      <c r="AF28" s="15">
        <f t="shared" si="114"/>
        <v>0.88339999999999996</v>
      </c>
      <c r="AG28" s="15">
        <f t="shared" si="114"/>
        <v>0.8931</v>
      </c>
      <c r="AH28" s="15">
        <f t="shared" si="114"/>
        <v>0.90280000000000005</v>
      </c>
      <c r="AI28" s="15">
        <f t="shared" si="114"/>
        <v>0.90280000000000005</v>
      </c>
      <c r="AJ28" s="15">
        <f t="shared" si="114"/>
        <v>0.90280000000000005</v>
      </c>
      <c r="AK28" s="15">
        <f t="shared" si="114"/>
        <v>0.90280000000000005</v>
      </c>
      <c r="AL28" s="15">
        <f t="shared" si="114"/>
        <v>0.90280000000000005</v>
      </c>
      <c r="AM28" s="15">
        <f t="shared" si="114"/>
        <v>0.90280000000000005</v>
      </c>
      <c r="AN28" s="15">
        <f t="shared" si="114"/>
        <v>0.90280000000000005</v>
      </c>
      <c r="AO28" s="15">
        <f t="shared" si="114"/>
        <v>0.90280000000000005</v>
      </c>
      <c r="AP28" s="15">
        <f t="shared" si="114"/>
        <v>0.91239999999999999</v>
      </c>
      <c r="AQ28" s="15">
        <f t="shared" si="114"/>
        <v>0.92210000000000003</v>
      </c>
      <c r="AR28" s="15">
        <f t="shared" si="114"/>
        <v>0.93169999999999997</v>
      </c>
      <c r="AS28" s="15">
        <f t="shared" si="114"/>
        <v>0.93169999999999997</v>
      </c>
      <c r="AT28" s="15">
        <f t="shared" si="114"/>
        <v>0.94140000000000001</v>
      </c>
      <c r="AU28" s="15">
        <f t="shared" si="114"/>
        <v>0.95099999999999996</v>
      </c>
      <c r="AV28" s="15">
        <f t="shared" si="114"/>
        <v>0.9607</v>
      </c>
      <c r="AW28" s="15">
        <f t="shared" si="114"/>
        <v>0.97030000000000005</v>
      </c>
      <c r="AX28" s="15">
        <f t="shared" si="114"/>
        <v>0.98</v>
      </c>
      <c r="AY28" s="15">
        <f t="shared" si="114"/>
        <v>0.98</v>
      </c>
      <c r="AZ28" s="15">
        <f t="shared" si="114"/>
        <v>0.98</v>
      </c>
      <c r="BA28" s="15">
        <f t="shared" si="114"/>
        <v>0.98</v>
      </c>
      <c r="BB28" s="15">
        <f t="shared" si="114"/>
        <v>0.98</v>
      </c>
      <c r="BC28" s="15">
        <f t="shared" si="114"/>
        <v>0.98</v>
      </c>
      <c r="BD28" s="15">
        <f t="shared" si="114"/>
        <v>0.98</v>
      </c>
      <c r="BE28" s="15">
        <f t="shared" si="114"/>
        <v>0.98</v>
      </c>
      <c r="BF28" s="15">
        <f t="shared" si="114"/>
        <v>0.98</v>
      </c>
      <c r="BG28" s="15">
        <f t="shared" si="114"/>
        <v>0.98</v>
      </c>
      <c r="BH28" s="15">
        <f t="shared" si="114"/>
        <v>0.98</v>
      </c>
      <c r="BI28" s="15">
        <f t="shared" si="114"/>
        <v>0.98</v>
      </c>
      <c r="BJ28" s="15">
        <f t="shared" si="114"/>
        <v>0.98</v>
      </c>
      <c r="BK28" s="15">
        <f t="shared" si="114"/>
        <v>0.98</v>
      </c>
      <c r="BL28" s="15">
        <f t="shared" si="114"/>
        <v>0.98</v>
      </c>
      <c r="BM28" s="15">
        <f t="shared" si="114"/>
        <v>0.98</v>
      </c>
      <c r="BN28" s="15">
        <f t="shared" si="114"/>
        <v>0.98</v>
      </c>
      <c r="BO28" s="15">
        <f t="shared" si="114"/>
        <v>0.98</v>
      </c>
      <c r="BP28" s="15">
        <f t="shared" si="114"/>
        <v>0.98</v>
      </c>
      <c r="BQ28" s="15">
        <f t="shared" ref="BQ28:DX28" si="115">IF(BQ26&gt;$D$18,$C$18,HLOOKUP(BQ26,$16:$18,3,0))</f>
        <v>0.98</v>
      </c>
      <c r="BR28" s="15">
        <f t="shared" si="115"/>
        <v>0.98</v>
      </c>
      <c r="BS28" s="15">
        <f t="shared" si="115"/>
        <v>0.98</v>
      </c>
      <c r="BT28" s="15">
        <f t="shared" si="115"/>
        <v>0.98</v>
      </c>
      <c r="BU28" s="15">
        <f t="shared" si="115"/>
        <v>0.98</v>
      </c>
      <c r="BV28" s="15">
        <f t="shared" si="115"/>
        <v>0.98</v>
      </c>
      <c r="BW28" s="15">
        <f t="shared" si="115"/>
        <v>0.98</v>
      </c>
      <c r="BX28" s="15">
        <f t="shared" si="115"/>
        <v>0.98</v>
      </c>
      <c r="BY28" s="15">
        <f t="shared" si="115"/>
        <v>0.98</v>
      </c>
      <c r="BZ28" s="15">
        <f t="shared" si="115"/>
        <v>0.98</v>
      </c>
      <c r="CA28" s="15">
        <f t="shared" si="115"/>
        <v>0.98</v>
      </c>
      <c r="CB28" s="15">
        <f t="shared" si="115"/>
        <v>0.98</v>
      </c>
      <c r="CC28" s="15">
        <f t="shared" si="115"/>
        <v>0.98</v>
      </c>
      <c r="CD28" s="15">
        <f t="shared" si="115"/>
        <v>0.98</v>
      </c>
      <c r="CE28" s="15">
        <f t="shared" si="115"/>
        <v>0.98</v>
      </c>
      <c r="CF28" s="15">
        <f t="shared" si="115"/>
        <v>0.98</v>
      </c>
      <c r="CG28" s="15">
        <f t="shared" si="115"/>
        <v>0.98</v>
      </c>
      <c r="CH28" s="15">
        <f t="shared" si="115"/>
        <v>0.98</v>
      </c>
      <c r="CI28" s="15">
        <f t="shared" si="115"/>
        <v>0.98</v>
      </c>
      <c r="CJ28" s="15">
        <f t="shared" si="115"/>
        <v>0.98</v>
      </c>
      <c r="CK28" s="15">
        <f t="shared" si="115"/>
        <v>0.98</v>
      </c>
      <c r="CL28" s="15">
        <f t="shared" si="115"/>
        <v>0.98</v>
      </c>
      <c r="CM28" s="15">
        <f t="shared" si="115"/>
        <v>0.98</v>
      </c>
      <c r="CN28" s="15">
        <f t="shared" si="115"/>
        <v>0.98</v>
      </c>
      <c r="CO28" s="15">
        <f t="shared" si="115"/>
        <v>0.98</v>
      </c>
      <c r="CP28" s="15">
        <f t="shared" si="115"/>
        <v>0.98</v>
      </c>
      <c r="CQ28" s="15">
        <f t="shared" si="115"/>
        <v>0.98</v>
      </c>
      <c r="CR28" s="15">
        <f t="shared" si="115"/>
        <v>0.98</v>
      </c>
      <c r="CS28" s="15">
        <f t="shared" si="115"/>
        <v>0.98</v>
      </c>
      <c r="CT28" s="15">
        <f t="shared" si="115"/>
        <v>0.98</v>
      </c>
      <c r="CU28" s="15">
        <f t="shared" si="115"/>
        <v>0.98</v>
      </c>
      <c r="CV28" s="15">
        <f t="shared" si="115"/>
        <v>0.98</v>
      </c>
      <c r="CW28" s="15">
        <f t="shared" si="115"/>
        <v>0.98</v>
      </c>
      <c r="CX28" s="15">
        <f t="shared" si="115"/>
        <v>0.98</v>
      </c>
      <c r="CY28" s="15">
        <f t="shared" si="115"/>
        <v>0.98</v>
      </c>
      <c r="CZ28" s="15">
        <f t="shared" si="115"/>
        <v>0.98</v>
      </c>
      <c r="DA28" s="15">
        <f t="shared" si="115"/>
        <v>0.98</v>
      </c>
      <c r="DB28" s="15">
        <f t="shared" si="115"/>
        <v>0.98</v>
      </c>
      <c r="DC28" s="15">
        <f t="shared" si="115"/>
        <v>0.98</v>
      </c>
      <c r="DD28" s="15">
        <f t="shared" si="115"/>
        <v>0.98</v>
      </c>
      <c r="DE28" s="15">
        <f t="shared" si="115"/>
        <v>0.98</v>
      </c>
      <c r="DF28" s="15">
        <f t="shared" si="115"/>
        <v>0.98</v>
      </c>
      <c r="DG28" s="15">
        <f t="shared" si="115"/>
        <v>0.98</v>
      </c>
      <c r="DH28" s="15">
        <f t="shared" si="115"/>
        <v>0.98</v>
      </c>
      <c r="DI28" s="15">
        <f t="shared" si="115"/>
        <v>0.98</v>
      </c>
      <c r="DJ28" s="15">
        <f t="shared" si="115"/>
        <v>0.98</v>
      </c>
      <c r="DK28" s="15">
        <f t="shared" si="115"/>
        <v>0.98</v>
      </c>
      <c r="DL28" s="15">
        <f t="shared" si="115"/>
        <v>0.98</v>
      </c>
      <c r="DM28" s="15">
        <f t="shared" si="115"/>
        <v>0.98</v>
      </c>
      <c r="DN28" s="15">
        <f t="shared" si="115"/>
        <v>0.98</v>
      </c>
      <c r="DO28" s="15">
        <f t="shared" si="115"/>
        <v>0.98</v>
      </c>
      <c r="DP28" s="15">
        <f t="shared" si="115"/>
        <v>0.98</v>
      </c>
      <c r="DQ28" s="15">
        <f t="shared" si="115"/>
        <v>0.98</v>
      </c>
      <c r="DR28" s="15">
        <f t="shared" si="115"/>
        <v>0.98</v>
      </c>
      <c r="DS28" s="15">
        <f t="shared" si="115"/>
        <v>0.98</v>
      </c>
      <c r="DT28" s="15">
        <f t="shared" si="115"/>
        <v>0.98</v>
      </c>
      <c r="DU28" s="15">
        <f t="shared" si="115"/>
        <v>0.98</v>
      </c>
      <c r="DV28" s="15">
        <f t="shared" si="115"/>
        <v>0.98</v>
      </c>
      <c r="DW28" s="15">
        <f t="shared" ref="DW28" si="116">IF(DW26&gt;$D$18,$C$18,HLOOKUP(DW26,$16:$18,3,0))</f>
        <v>0.98</v>
      </c>
      <c r="DX28" s="16">
        <f t="shared" si="115"/>
        <v>0.98</v>
      </c>
    </row>
    <row r="29" spans="2:128" s="5" customFormat="1" x14ac:dyDescent="0.2">
      <c r="B29" s="8" t="s">
        <v>23</v>
      </c>
      <c r="C29" s="17"/>
      <c r="D29" s="9">
        <f>IF(D$22="Sun",C29,IF(D$21=$D$14,1,IF(D$21&lt;$D$14,0,C29+1)))</f>
        <v>0</v>
      </c>
      <c r="E29" s="9">
        <f t="shared" ref="E29:BP29" si="117">IF(E$22="Sun",D29,IF(E$21=$D$14,1,IF(E$21&lt;$D$14,0,D29+1)))</f>
        <v>0</v>
      </c>
      <c r="F29" s="9">
        <f t="shared" si="117"/>
        <v>0</v>
      </c>
      <c r="G29" s="9">
        <f t="shared" si="117"/>
        <v>0</v>
      </c>
      <c r="H29" s="9">
        <f t="shared" si="117"/>
        <v>0</v>
      </c>
      <c r="I29" s="9">
        <f t="shared" si="117"/>
        <v>0</v>
      </c>
      <c r="J29" s="9">
        <f t="shared" si="117"/>
        <v>0</v>
      </c>
      <c r="K29" s="9">
        <f t="shared" si="117"/>
        <v>0</v>
      </c>
      <c r="L29" s="9">
        <f t="shared" si="117"/>
        <v>0</v>
      </c>
      <c r="M29" s="9">
        <f t="shared" si="117"/>
        <v>0</v>
      </c>
      <c r="N29" s="9">
        <f t="shared" si="117"/>
        <v>1</v>
      </c>
      <c r="O29" s="9">
        <f t="shared" si="117"/>
        <v>2</v>
      </c>
      <c r="P29" s="9">
        <f t="shared" si="117"/>
        <v>3</v>
      </c>
      <c r="Q29" s="9">
        <f t="shared" si="117"/>
        <v>3</v>
      </c>
      <c r="R29" s="9">
        <f t="shared" si="117"/>
        <v>4</v>
      </c>
      <c r="S29" s="9">
        <f t="shared" si="117"/>
        <v>5</v>
      </c>
      <c r="T29" s="9">
        <f t="shared" si="117"/>
        <v>6</v>
      </c>
      <c r="U29" s="9">
        <f t="shared" si="117"/>
        <v>7</v>
      </c>
      <c r="V29" s="9">
        <f t="shared" si="117"/>
        <v>8</v>
      </c>
      <c r="W29" s="9">
        <f t="shared" si="117"/>
        <v>9</v>
      </c>
      <c r="X29" s="9">
        <f t="shared" si="117"/>
        <v>9</v>
      </c>
      <c r="Y29" s="9">
        <f t="shared" si="117"/>
        <v>10</v>
      </c>
      <c r="Z29" s="9">
        <f t="shared" si="117"/>
        <v>11</v>
      </c>
      <c r="AA29" s="9">
        <f t="shared" si="117"/>
        <v>12</v>
      </c>
      <c r="AB29" s="9">
        <f t="shared" si="117"/>
        <v>13</v>
      </c>
      <c r="AC29" s="26">
        <f>AB29</f>
        <v>13</v>
      </c>
      <c r="AD29" s="26">
        <f>AC29</f>
        <v>13</v>
      </c>
      <c r="AE29" s="26">
        <f>AD29</f>
        <v>13</v>
      </c>
      <c r="AF29" s="9">
        <f t="shared" si="117"/>
        <v>14</v>
      </c>
      <c r="AG29" s="9">
        <f t="shared" si="117"/>
        <v>15</v>
      </c>
      <c r="AH29" s="9">
        <f t="shared" si="117"/>
        <v>16</v>
      </c>
      <c r="AI29" s="26">
        <f>AH29</f>
        <v>16</v>
      </c>
      <c r="AJ29" s="26">
        <f t="shared" ref="AJ29:AO29" si="118">AI29</f>
        <v>16</v>
      </c>
      <c r="AK29" s="26">
        <f t="shared" si="118"/>
        <v>16</v>
      </c>
      <c r="AL29" s="26">
        <f t="shared" si="118"/>
        <v>16</v>
      </c>
      <c r="AM29" s="26">
        <f t="shared" si="118"/>
        <v>16</v>
      </c>
      <c r="AN29" s="26">
        <f t="shared" si="118"/>
        <v>16</v>
      </c>
      <c r="AO29" s="26">
        <f t="shared" si="118"/>
        <v>16</v>
      </c>
      <c r="AP29" s="9">
        <f t="shared" si="117"/>
        <v>17</v>
      </c>
      <c r="AQ29" s="9">
        <f t="shared" si="117"/>
        <v>18</v>
      </c>
      <c r="AR29" s="9">
        <f t="shared" si="117"/>
        <v>19</v>
      </c>
      <c r="AS29" s="9">
        <f t="shared" si="117"/>
        <v>19</v>
      </c>
      <c r="AT29" s="9">
        <f t="shared" si="117"/>
        <v>20</v>
      </c>
      <c r="AU29" s="9">
        <f t="shared" si="117"/>
        <v>21</v>
      </c>
      <c r="AV29" s="9">
        <f t="shared" si="117"/>
        <v>22</v>
      </c>
      <c r="AW29" s="9">
        <f t="shared" si="117"/>
        <v>23</v>
      </c>
      <c r="AX29" s="9">
        <f t="shared" si="117"/>
        <v>24</v>
      </c>
      <c r="AY29" s="9">
        <f t="shared" si="117"/>
        <v>25</v>
      </c>
      <c r="AZ29" s="9">
        <f t="shared" si="117"/>
        <v>25</v>
      </c>
      <c r="BA29" s="9">
        <f t="shared" si="117"/>
        <v>26</v>
      </c>
      <c r="BB29" s="9">
        <f t="shared" si="117"/>
        <v>27</v>
      </c>
      <c r="BC29" s="9">
        <f t="shared" si="117"/>
        <v>28</v>
      </c>
      <c r="BD29" s="9">
        <f t="shared" si="117"/>
        <v>29</v>
      </c>
      <c r="BE29" s="9">
        <f t="shared" si="117"/>
        <v>30</v>
      </c>
      <c r="BF29" s="9">
        <f t="shared" si="117"/>
        <v>31</v>
      </c>
      <c r="BG29" s="9">
        <f t="shared" si="117"/>
        <v>31</v>
      </c>
      <c r="BH29" s="9">
        <f t="shared" si="117"/>
        <v>32</v>
      </c>
      <c r="BI29" s="9">
        <f t="shared" si="117"/>
        <v>33</v>
      </c>
      <c r="BJ29" s="9">
        <f t="shared" si="117"/>
        <v>34</v>
      </c>
      <c r="BK29" s="9">
        <f t="shared" si="117"/>
        <v>35</v>
      </c>
      <c r="BL29" s="9">
        <f t="shared" si="117"/>
        <v>36</v>
      </c>
      <c r="BM29" s="9">
        <f t="shared" si="117"/>
        <v>37</v>
      </c>
      <c r="BN29" s="9">
        <f t="shared" si="117"/>
        <v>37</v>
      </c>
      <c r="BO29" s="9">
        <f t="shared" si="117"/>
        <v>38</v>
      </c>
      <c r="BP29" s="9">
        <f t="shared" si="117"/>
        <v>39</v>
      </c>
      <c r="BQ29" s="9">
        <f t="shared" ref="BQ29:DX29" si="119">IF(BQ$22="Sun",BP29,IF(BQ$21=$D$14,1,IF(BQ$21&lt;$D$14,0,BP29+1)))</f>
        <v>40</v>
      </c>
      <c r="BR29" s="9">
        <f t="shared" si="119"/>
        <v>41</v>
      </c>
      <c r="BS29" s="9">
        <f t="shared" si="119"/>
        <v>42</v>
      </c>
      <c r="BT29" s="9">
        <f t="shared" si="119"/>
        <v>43</v>
      </c>
      <c r="BU29" s="9">
        <f t="shared" si="119"/>
        <v>43</v>
      </c>
      <c r="BV29" s="9">
        <f t="shared" si="119"/>
        <v>44</v>
      </c>
      <c r="BW29" s="9">
        <f t="shared" si="119"/>
        <v>45</v>
      </c>
      <c r="BX29" s="9">
        <f t="shared" si="119"/>
        <v>46</v>
      </c>
      <c r="BY29" s="9">
        <f t="shared" si="119"/>
        <v>47</v>
      </c>
      <c r="BZ29" s="9">
        <f t="shared" si="119"/>
        <v>48</v>
      </c>
      <c r="CA29" s="9">
        <f t="shared" si="119"/>
        <v>49</v>
      </c>
      <c r="CB29" s="9">
        <f t="shared" si="119"/>
        <v>49</v>
      </c>
      <c r="CC29" s="9">
        <f t="shared" si="119"/>
        <v>50</v>
      </c>
      <c r="CD29" s="9">
        <f t="shared" si="119"/>
        <v>51</v>
      </c>
      <c r="CE29" s="9">
        <f t="shared" si="119"/>
        <v>52</v>
      </c>
      <c r="CF29" s="9">
        <f t="shared" si="119"/>
        <v>53</v>
      </c>
      <c r="CG29" s="9">
        <f t="shared" si="119"/>
        <v>54</v>
      </c>
      <c r="CH29" s="9">
        <f t="shared" si="119"/>
        <v>55</v>
      </c>
      <c r="CI29" s="9">
        <f t="shared" si="119"/>
        <v>55</v>
      </c>
      <c r="CJ29" s="9">
        <f t="shared" si="119"/>
        <v>56</v>
      </c>
      <c r="CK29" s="9">
        <f t="shared" si="119"/>
        <v>57</v>
      </c>
      <c r="CL29" s="9">
        <f t="shared" si="119"/>
        <v>58</v>
      </c>
      <c r="CM29" s="9">
        <f t="shared" si="119"/>
        <v>59</v>
      </c>
      <c r="CN29" s="9">
        <f t="shared" si="119"/>
        <v>60</v>
      </c>
      <c r="CO29" s="9">
        <f t="shared" si="119"/>
        <v>61</v>
      </c>
      <c r="CP29" s="9">
        <f t="shared" si="119"/>
        <v>61</v>
      </c>
      <c r="CQ29" s="9">
        <f t="shared" si="119"/>
        <v>62</v>
      </c>
      <c r="CR29" s="9">
        <f t="shared" si="119"/>
        <v>63</v>
      </c>
      <c r="CS29" s="9">
        <f t="shared" si="119"/>
        <v>64</v>
      </c>
      <c r="CT29" s="9">
        <f t="shared" si="119"/>
        <v>65</v>
      </c>
      <c r="CU29" s="9">
        <f t="shared" si="119"/>
        <v>66</v>
      </c>
      <c r="CV29" s="9">
        <f t="shared" si="119"/>
        <v>67</v>
      </c>
      <c r="CW29" s="9">
        <f t="shared" si="119"/>
        <v>67</v>
      </c>
      <c r="CX29" s="9">
        <f t="shared" si="119"/>
        <v>68</v>
      </c>
      <c r="CY29" s="9">
        <f t="shared" si="119"/>
        <v>69</v>
      </c>
      <c r="CZ29" s="9">
        <f t="shared" si="119"/>
        <v>70</v>
      </c>
      <c r="DA29" s="9">
        <f t="shared" si="119"/>
        <v>71</v>
      </c>
      <c r="DB29" s="9">
        <f t="shared" si="119"/>
        <v>72</v>
      </c>
      <c r="DC29" s="9">
        <f t="shared" si="119"/>
        <v>73</v>
      </c>
      <c r="DD29" s="9">
        <f t="shared" si="119"/>
        <v>73</v>
      </c>
      <c r="DE29" s="9">
        <f t="shared" si="119"/>
        <v>74</v>
      </c>
      <c r="DF29" s="9">
        <f t="shared" si="119"/>
        <v>75</v>
      </c>
      <c r="DG29" s="9">
        <f t="shared" si="119"/>
        <v>76</v>
      </c>
      <c r="DH29" s="9">
        <f t="shared" si="119"/>
        <v>77</v>
      </c>
      <c r="DI29" s="9">
        <f t="shared" si="119"/>
        <v>78</v>
      </c>
      <c r="DJ29" s="9">
        <f t="shared" si="119"/>
        <v>79</v>
      </c>
      <c r="DK29" s="9">
        <f t="shared" si="119"/>
        <v>79</v>
      </c>
      <c r="DL29" s="9">
        <f t="shared" si="119"/>
        <v>80</v>
      </c>
      <c r="DM29" s="9">
        <f t="shared" si="119"/>
        <v>81</v>
      </c>
      <c r="DN29" s="9">
        <f t="shared" si="119"/>
        <v>82</v>
      </c>
      <c r="DO29" s="9">
        <f t="shared" si="119"/>
        <v>83</v>
      </c>
      <c r="DP29" s="9">
        <f t="shared" si="119"/>
        <v>84</v>
      </c>
      <c r="DQ29" s="9">
        <f t="shared" si="119"/>
        <v>85</v>
      </c>
      <c r="DR29" s="9">
        <f t="shared" si="119"/>
        <v>85</v>
      </c>
      <c r="DS29" s="9">
        <f t="shared" si="119"/>
        <v>86</v>
      </c>
      <c r="DT29" s="9">
        <f t="shared" si="119"/>
        <v>87</v>
      </c>
      <c r="DU29" s="9">
        <f t="shared" si="119"/>
        <v>88</v>
      </c>
      <c r="DV29" s="9">
        <f t="shared" si="119"/>
        <v>89</v>
      </c>
      <c r="DW29" s="9">
        <f t="shared" si="119"/>
        <v>90</v>
      </c>
      <c r="DX29" s="10">
        <f t="shared" si="119"/>
        <v>91</v>
      </c>
    </row>
    <row r="30" spans="2:128" x14ac:dyDescent="0.2">
      <c r="B30" s="11" t="s">
        <v>16</v>
      </c>
      <c r="D30" s="1">
        <f>IF(D29&gt;$D$17,$C$17,HLOOKUP(D29,$16:$17,2,0))</f>
        <v>0</v>
      </c>
      <c r="E30" s="1">
        <f t="shared" ref="E30" si="120">IF(E29&gt;$D$17,$C$17,HLOOKUP(E29,$16:$17,2,0))</f>
        <v>0</v>
      </c>
      <c r="F30" s="1">
        <f t="shared" ref="F30" si="121">IF(F29&gt;$D$17,$C$17,HLOOKUP(F29,$16:$17,2,0))</f>
        <v>0</v>
      </c>
      <c r="G30" s="1">
        <f t="shared" ref="G30" si="122">IF(G29&gt;$D$17,$C$17,HLOOKUP(G29,$16:$17,2,0))</f>
        <v>0</v>
      </c>
      <c r="H30" s="1">
        <f t="shared" ref="H30" si="123">IF(H29&gt;$D$17,$C$17,HLOOKUP(H29,$16:$17,2,0))</f>
        <v>0</v>
      </c>
      <c r="I30" s="1">
        <f t="shared" ref="I30" si="124">IF(I29&gt;$D$17,$C$17,HLOOKUP(I29,$16:$17,2,0))</f>
        <v>0</v>
      </c>
      <c r="J30" s="1">
        <f t="shared" ref="J30" si="125">IF(J29&gt;$D$17,$C$17,HLOOKUP(J29,$16:$17,2,0))</f>
        <v>0</v>
      </c>
      <c r="K30" s="1">
        <f t="shared" ref="K30" si="126">IF(K29&gt;$D$17,$C$17,HLOOKUP(K29,$16:$17,2,0))</f>
        <v>0</v>
      </c>
      <c r="L30" s="1">
        <f t="shared" ref="L30" si="127">IF(L29&gt;$D$17,$C$17,HLOOKUP(L29,$16:$17,2,0))</f>
        <v>0</v>
      </c>
      <c r="M30" s="1">
        <f t="shared" ref="M30" si="128">IF(M29&gt;$D$17,$C$17,HLOOKUP(M29,$16:$17,2,0))</f>
        <v>0</v>
      </c>
      <c r="N30" s="1">
        <f t="shared" ref="N30" si="129">IF(N29&gt;$D$17,$C$17,HLOOKUP(N29,$16:$17,2,0))</f>
        <v>0.5</v>
      </c>
      <c r="O30" s="1">
        <f t="shared" ref="O30" si="130">IF(O29&gt;$D$17,$C$17,HLOOKUP(O29,$16:$17,2,0))</f>
        <v>0.52</v>
      </c>
      <c r="P30" s="1">
        <f t="shared" ref="P30" si="131">IF(P29&gt;$D$17,$C$17,HLOOKUP(P29,$16:$17,2,0))</f>
        <v>0.53</v>
      </c>
      <c r="Q30" s="1">
        <f t="shared" ref="Q30" si="132">IF(Q29&gt;$D$17,$C$17,HLOOKUP(Q29,$16:$17,2,0))</f>
        <v>0.53</v>
      </c>
      <c r="R30" s="1">
        <f t="shared" ref="R30" si="133">IF(R29&gt;$D$17,$C$17,HLOOKUP(R29,$16:$17,2,0))</f>
        <v>0.55000000000000004</v>
      </c>
      <c r="S30" s="1">
        <f t="shared" ref="S30" si="134">IF(S29&gt;$D$17,$C$17,HLOOKUP(S29,$16:$17,2,0))</f>
        <v>0.56999999999999995</v>
      </c>
      <c r="T30" s="1">
        <f t="shared" ref="T30" si="135">IF(T29&gt;$D$17,$C$17,HLOOKUP(T29,$16:$17,2,0))</f>
        <v>0.59</v>
      </c>
      <c r="U30" s="1">
        <f t="shared" ref="U30" si="136">IF(U29&gt;$D$17,$C$17,HLOOKUP(U29,$16:$17,2,0))</f>
        <v>0.6</v>
      </c>
      <c r="V30" s="1">
        <f t="shared" ref="V30" si="137">IF(V29&gt;$D$17,$C$17,HLOOKUP(V29,$16:$17,2,0))</f>
        <v>0.62</v>
      </c>
      <c r="W30" s="1">
        <f t="shared" ref="W30" si="138">IF(W29&gt;$D$17,$C$17,HLOOKUP(W29,$16:$17,2,0))</f>
        <v>0.64</v>
      </c>
      <c r="X30" s="1">
        <f t="shared" ref="X30" si="139">IF(X29&gt;$D$17,$C$17,HLOOKUP(X29,$16:$17,2,0))</f>
        <v>0.64</v>
      </c>
      <c r="Y30" s="1">
        <f t="shared" ref="Y30" si="140">IF(Y29&gt;$D$17,$C$17,HLOOKUP(Y29,$16:$17,2,0))</f>
        <v>0.66</v>
      </c>
      <c r="Z30" s="1">
        <f t="shared" ref="Z30" si="141">IF(Z29&gt;$D$17,$C$17,HLOOKUP(Z29,$16:$17,2,0))</f>
        <v>0.67</v>
      </c>
      <c r="AA30" s="1">
        <f t="shared" ref="AA30" si="142">IF(AA29&gt;$D$17,$C$17,HLOOKUP(AA29,$16:$17,2,0))</f>
        <v>0.69</v>
      </c>
      <c r="AB30" s="1">
        <f t="shared" ref="AB30" si="143">IF(AB29&gt;$D$17,$C$17,HLOOKUP(AB29,$16:$17,2,0))</f>
        <v>0.71</v>
      </c>
      <c r="AC30" s="1">
        <f t="shared" ref="AC30" si="144">IF(AC29&gt;$D$17,$C$17,HLOOKUP(AC29,$16:$17,2,0))</f>
        <v>0.71</v>
      </c>
      <c r="AD30" s="1">
        <f t="shared" ref="AD30" si="145">IF(AD29&gt;$D$17,$C$17,HLOOKUP(AD29,$16:$17,2,0))</f>
        <v>0.71</v>
      </c>
      <c r="AE30" s="1">
        <f t="shared" ref="AE30" si="146">IF(AE29&gt;$D$17,$C$17,HLOOKUP(AE29,$16:$17,2,0))</f>
        <v>0.71</v>
      </c>
      <c r="AF30" s="1">
        <f t="shared" ref="AF30" si="147">IF(AF29&gt;$D$17,$C$17,HLOOKUP(AF29,$16:$17,2,0))</f>
        <v>0.72</v>
      </c>
      <c r="AG30" s="1">
        <f t="shared" ref="AG30" si="148">IF(AG29&gt;$D$17,$C$17,HLOOKUP(AG29,$16:$17,2,0))</f>
        <v>0.74</v>
      </c>
      <c r="AH30" s="1">
        <f t="shared" ref="AH30" si="149">IF(AH29&gt;$D$17,$C$17,HLOOKUP(AH29,$16:$17,2,0))</f>
        <v>0.76</v>
      </c>
      <c r="AI30" s="1">
        <f t="shared" ref="AI30" si="150">IF(AI29&gt;$D$17,$C$17,HLOOKUP(AI29,$16:$17,2,0))</f>
        <v>0.76</v>
      </c>
      <c r="AJ30" s="1">
        <f t="shared" ref="AJ30" si="151">IF(AJ29&gt;$D$17,$C$17,HLOOKUP(AJ29,$16:$17,2,0))</f>
        <v>0.76</v>
      </c>
      <c r="AK30" s="1">
        <f t="shared" ref="AK30" si="152">IF(AK29&gt;$D$17,$C$17,HLOOKUP(AK29,$16:$17,2,0))</f>
        <v>0.76</v>
      </c>
      <c r="AL30" s="1">
        <f t="shared" ref="AL30" si="153">IF(AL29&gt;$D$17,$C$17,HLOOKUP(AL29,$16:$17,2,0))</f>
        <v>0.76</v>
      </c>
      <c r="AM30" s="1">
        <f t="shared" ref="AM30" si="154">IF(AM29&gt;$D$17,$C$17,HLOOKUP(AM29,$16:$17,2,0))</f>
        <v>0.76</v>
      </c>
      <c r="AN30" s="1">
        <f t="shared" ref="AN30" si="155">IF(AN29&gt;$D$17,$C$17,HLOOKUP(AN29,$16:$17,2,0))</f>
        <v>0.76</v>
      </c>
      <c r="AO30" s="1">
        <f t="shared" ref="AO30" si="156">IF(AO29&gt;$D$17,$C$17,HLOOKUP(AO29,$16:$17,2,0))</f>
        <v>0.76</v>
      </c>
      <c r="AP30" s="1">
        <f t="shared" ref="AP30" si="157">IF(AP29&gt;$D$17,$C$17,HLOOKUP(AP29,$16:$17,2,0))</f>
        <v>0.78</v>
      </c>
      <c r="AQ30" s="1">
        <f t="shared" ref="AQ30" si="158">IF(AQ29&gt;$D$17,$C$17,HLOOKUP(AQ29,$16:$17,2,0))</f>
        <v>0.79</v>
      </c>
      <c r="AR30" s="1">
        <f t="shared" ref="AR30" si="159">IF(AR29&gt;$D$17,$C$17,HLOOKUP(AR29,$16:$17,2,0))</f>
        <v>0.81</v>
      </c>
      <c r="AS30" s="1">
        <f t="shared" ref="AS30" si="160">IF(AS29&gt;$D$17,$C$17,HLOOKUP(AS29,$16:$17,2,0))</f>
        <v>0.81</v>
      </c>
      <c r="AT30" s="1">
        <f t="shared" ref="AT30" si="161">IF(AT29&gt;$D$17,$C$17,HLOOKUP(AT29,$16:$17,2,0))</f>
        <v>0.83</v>
      </c>
      <c r="AU30" s="1">
        <f t="shared" ref="AU30" si="162">IF(AU29&gt;$D$17,$C$17,HLOOKUP(AU29,$16:$17,2,0))</f>
        <v>0.84</v>
      </c>
      <c r="AV30" s="1">
        <f t="shared" ref="AV30" si="163">IF(AV29&gt;$D$17,$C$17,HLOOKUP(AV29,$16:$17,2,0))</f>
        <v>0.86</v>
      </c>
      <c r="AW30" s="1">
        <f t="shared" ref="AW30" si="164">IF(AW29&gt;$D$17,$C$17,HLOOKUP(AW29,$16:$17,2,0))</f>
        <v>0.88</v>
      </c>
      <c r="AX30" s="1">
        <f t="shared" ref="AX30" si="165">IF(AX29&gt;$D$17,$C$17,HLOOKUP(AX29,$16:$17,2,0))</f>
        <v>0.9</v>
      </c>
      <c r="AY30" s="1">
        <f t="shared" ref="AY30" si="166">IF(AY29&gt;$D$17,$C$17,HLOOKUP(AY29,$16:$17,2,0))</f>
        <v>0.91</v>
      </c>
      <c r="AZ30" s="1">
        <f t="shared" ref="AZ30" si="167">IF(AZ29&gt;$D$17,$C$17,HLOOKUP(AZ29,$16:$17,2,0))</f>
        <v>0.91</v>
      </c>
      <c r="BA30" s="1">
        <f t="shared" ref="BA30" si="168">IF(BA29&gt;$D$17,$C$17,HLOOKUP(BA29,$16:$17,2,0))</f>
        <v>0.93</v>
      </c>
      <c r="BB30" s="1">
        <f t="shared" ref="BB30" si="169">IF(BB29&gt;$D$17,$C$17,HLOOKUP(BB29,$16:$17,2,0))</f>
        <v>0.95</v>
      </c>
      <c r="BC30" s="1">
        <f t="shared" ref="BC30" si="170">IF(BC29&gt;$D$17,$C$17,HLOOKUP(BC29,$16:$17,2,0))</f>
        <v>0.97</v>
      </c>
      <c r="BD30" s="1">
        <f t="shared" ref="BD30" si="171">IF(BD29&gt;$D$17,$C$17,HLOOKUP(BD29,$16:$17,2,0))</f>
        <v>0.98</v>
      </c>
      <c r="BE30" s="1">
        <f t="shared" ref="BE30" si="172">IF(BE29&gt;$D$17,$C$17,HLOOKUP(BE29,$16:$17,2,0))</f>
        <v>1</v>
      </c>
      <c r="BF30" s="1">
        <f t="shared" ref="BF30" si="173">IF(BF29&gt;$D$17,$C$17,HLOOKUP(BF29,$16:$17,2,0))</f>
        <v>1</v>
      </c>
      <c r="BG30" s="1">
        <f t="shared" ref="BG30" si="174">IF(BG29&gt;$D$17,$C$17,HLOOKUP(BG29,$16:$17,2,0))</f>
        <v>1</v>
      </c>
      <c r="BH30" s="1">
        <f t="shared" ref="BH30" si="175">IF(BH29&gt;$D$17,$C$17,HLOOKUP(BH29,$16:$17,2,0))</f>
        <v>1</v>
      </c>
      <c r="BI30" s="1">
        <f t="shared" ref="BI30" si="176">IF(BI29&gt;$D$17,$C$17,HLOOKUP(BI29,$16:$17,2,0))</f>
        <v>1</v>
      </c>
      <c r="BJ30" s="1">
        <f t="shared" ref="BJ30" si="177">IF(BJ29&gt;$D$17,$C$17,HLOOKUP(BJ29,$16:$17,2,0))</f>
        <v>1</v>
      </c>
      <c r="BK30" s="1">
        <f t="shared" ref="BK30" si="178">IF(BK29&gt;$D$17,$C$17,HLOOKUP(BK29,$16:$17,2,0))</f>
        <v>1</v>
      </c>
      <c r="BL30" s="1">
        <f t="shared" ref="BL30" si="179">IF(BL29&gt;$D$17,$C$17,HLOOKUP(BL29,$16:$17,2,0))</f>
        <v>1</v>
      </c>
      <c r="BM30" s="1">
        <f t="shared" ref="BM30" si="180">IF(BM29&gt;$D$17,$C$17,HLOOKUP(BM29,$16:$17,2,0))</f>
        <v>1</v>
      </c>
      <c r="BN30" s="1">
        <f t="shared" ref="BN30" si="181">IF(BN29&gt;$D$17,$C$17,HLOOKUP(BN29,$16:$17,2,0))</f>
        <v>1</v>
      </c>
      <c r="BO30" s="1">
        <f t="shared" ref="BO30" si="182">IF(BO29&gt;$D$17,$C$17,HLOOKUP(BO29,$16:$17,2,0))</f>
        <v>1</v>
      </c>
      <c r="BP30" s="1">
        <f t="shared" ref="BP30" si="183">IF(BP29&gt;$D$17,$C$17,HLOOKUP(BP29,$16:$17,2,0))</f>
        <v>1</v>
      </c>
      <c r="BQ30" s="1">
        <f t="shared" ref="BQ30" si="184">IF(BQ29&gt;$D$17,$C$17,HLOOKUP(BQ29,$16:$17,2,0))</f>
        <v>1</v>
      </c>
      <c r="BR30" s="1">
        <f t="shared" ref="BR30" si="185">IF(BR29&gt;$D$17,$C$17,HLOOKUP(BR29,$16:$17,2,0))</f>
        <v>1</v>
      </c>
      <c r="BS30" s="1">
        <f t="shared" ref="BS30" si="186">IF(BS29&gt;$D$17,$C$17,HLOOKUP(BS29,$16:$17,2,0))</f>
        <v>1</v>
      </c>
      <c r="BT30" s="1">
        <f t="shared" ref="BT30" si="187">IF(BT29&gt;$D$17,$C$17,HLOOKUP(BT29,$16:$17,2,0))</f>
        <v>1</v>
      </c>
      <c r="BU30" s="1">
        <f t="shared" ref="BU30" si="188">IF(BU29&gt;$D$17,$C$17,HLOOKUP(BU29,$16:$17,2,0))</f>
        <v>1</v>
      </c>
      <c r="BV30" s="1">
        <f t="shared" ref="BV30" si="189">IF(BV29&gt;$D$17,$C$17,HLOOKUP(BV29,$16:$17,2,0))</f>
        <v>1</v>
      </c>
      <c r="BW30" s="1">
        <f t="shared" ref="BW30" si="190">IF(BW29&gt;$D$17,$C$17,HLOOKUP(BW29,$16:$17,2,0))</f>
        <v>1</v>
      </c>
      <c r="BX30" s="1">
        <f t="shared" ref="BX30" si="191">IF(BX29&gt;$D$17,$C$17,HLOOKUP(BX29,$16:$17,2,0))</f>
        <v>1</v>
      </c>
      <c r="BY30" s="1">
        <f t="shared" ref="BY30" si="192">IF(BY29&gt;$D$17,$C$17,HLOOKUP(BY29,$16:$17,2,0))</f>
        <v>1</v>
      </c>
      <c r="BZ30" s="1">
        <f t="shared" ref="BZ30" si="193">IF(BZ29&gt;$D$17,$C$17,HLOOKUP(BZ29,$16:$17,2,0))</f>
        <v>1</v>
      </c>
      <c r="CA30" s="1">
        <f t="shared" ref="CA30" si="194">IF(CA29&gt;$D$17,$C$17,HLOOKUP(CA29,$16:$17,2,0))</f>
        <v>1</v>
      </c>
      <c r="CB30" s="1">
        <f t="shared" ref="CB30" si="195">IF(CB29&gt;$D$17,$C$17,HLOOKUP(CB29,$16:$17,2,0))</f>
        <v>1</v>
      </c>
      <c r="CC30" s="1">
        <f t="shared" ref="CC30" si="196">IF(CC29&gt;$D$17,$C$17,HLOOKUP(CC29,$16:$17,2,0))</f>
        <v>1</v>
      </c>
      <c r="CD30" s="1">
        <f t="shared" ref="CD30" si="197">IF(CD29&gt;$D$17,$C$17,HLOOKUP(CD29,$16:$17,2,0))</f>
        <v>1</v>
      </c>
      <c r="CE30" s="1">
        <f t="shared" ref="CE30" si="198">IF(CE29&gt;$D$17,$C$17,HLOOKUP(CE29,$16:$17,2,0))</f>
        <v>1</v>
      </c>
      <c r="CF30" s="1">
        <f t="shared" ref="CF30" si="199">IF(CF29&gt;$D$17,$C$17,HLOOKUP(CF29,$16:$17,2,0))</f>
        <v>1</v>
      </c>
      <c r="CG30" s="1">
        <f t="shared" ref="CG30" si="200">IF(CG29&gt;$D$17,$C$17,HLOOKUP(CG29,$16:$17,2,0))</f>
        <v>1</v>
      </c>
      <c r="CH30" s="1">
        <f t="shared" ref="CH30" si="201">IF(CH29&gt;$D$17,$C$17,HLOOKUP(CH29,$16:$17,2,0))</f>
        <v>1</v>
      </c>
      <c r="CI30" s="1">
        <f t="shared" ref="CI30" si="202">IF(CI29&gt;$D$17,$C$17,HLOOKUP(CI29,$16:$17,2,0))</f>
        <v>1</v>
      </c>
      <c r="CJ30" s="1">
        <f t="shared" ref="CJ30" si="203">IF(CJ29&gt;$D$17,$C$17,HLOOKUP(CJ29,$16:$17,2,0))</f>
        <v>1</v>
      </c>
      <c r="CK30" s="1">
        <f t="shared" ref="CK30" si="204">IF(CK29&gt;$D$17,$C$17,HLOOKUP(CK29,$16:$17,2,0))</f>
        <v>1</v>
      </c>
      <c r="CL30" s="1">
        <f t="shared" ref="CL30" si="205">IF(CL29&gt;$D$17,$C$17,HLOOKUP(CL29,$16:$17,2,0))</f>
        <v>1</v>
      </c>
      <c r="CM30" s="1">
        <f t="shared" ref="CM30" si="206">IF(CM29&gt;$D$17,$C$17,HLOOKUP(CM29,$16:$17,2,0))</f>
        <v>1</v>
      </c>
      <c r="CN30" s="1">
        <f t="shared" ref="CN30" si="207">IF(CN29&gt;$D$17,$C$17,HLOOKUP(CN29,$16:$17,2,0))</f>
        <v>1</v>
      </c>
      <c r="CO30" s="1">
        <f t="shared" ref="CO30" si="208">IF(CO29&gt;$D$17,$C$17,HLOOKUP(CO29,$16:$17,2,0))</f>
        <v>1</v>
      </c>
      <c r="CP30" s="1">
        <f t="shared" ref="CP30" si="209">IF(CP29&gt;$D$17,$C$17,HLOOKUP(CP29,$16:$17,2,0))</f>
        <v>1</v>
      </c>
      <c r="CQ30" s="1">
        <f t="shared" ref="CQ30" si="210">IF(CQ29&gt;$D$17,$C$17,HLOOKUP(CQ29,$16:$17,2,0))</f>
        <v>1</v>
      </c>
      <c r="CR30" s="1">
        <f t="shared" ref="CR30" si="211">IF(CR29&gt;$D$17,$C$17,HLOOKUP(CR29,$16:$17,2,0))</f>
        <v>1</v>
      </c>
      <c r="CS30" s="1">
        <f t="shared" ref="CS30" si="212">IF(CS29&gt;$D$17,$C$17,HLOOKUP(CS29,$16:$17,2,0))</f>
        <v>1</v>
      </c>
      <c r="CT30" s="1">
        <f t="shared" ref="CT30" si="213">IF(CT29&gt;$D$17,$C$17,HLOOKUP(CT29,$16:$17,2,0))</f>
        <v>1</v>
      </c>
      <c r="CU30" s="1">
        <f t="shared" ref="CU30" si="214">IF(CU29&gt;$D$17,$C$17,HLOOKUP(CU29,$16:$17,2,0))</f>
        <v>1</v>
      </c>
      <c r="CV30" s="1">
        <f t="shared" ref="CV30" si="215">IF(CV29&gt;$D$17,$C$17,HLOOKUP(CV29,$16:$17,2,0))</f>
        <v>1</v>
      </c>
      <c r="CW30" s="1">
        <f t="shared" ref="CW30" si="216">IF(CW29&gt;$D$17,$C$17,HLOOKUP(CW29,$16:$17,2,0))</f>
        <v>1</v>
      </c>
      <c r="CX30" s="1">
        <f t="shared" ref="CX30" si="217">IF(CX29&gt;$D$17,$C$17,HLOOKUP(CX29,$16:$17,2,0))</f>
        <v>1</v>
      </c>
      <c r="CY30" s="1">
        <f t="shared" ref="CY30" si="218">IF(CY29&gt;$D$17,$C$17,HLOOKUP(CY29,$16:$17,2,0))</f>
        <v>1</v>
      </c>
      <c r="CZ30" s="1">
        <f t="shared" ref="CZ30" si="219">IF(CZ29&gt;$D$17,$C$17,HLOOKUP(CZ29,$16:$17,2,0))</f>
        <v>1</v>
      </c>
      <c r="DA30" s="1">
        <f t="shared" ref="DA30" si="220">IF(DA29&gt;$D$17,$C$17,HLOOKUP(DA29,$16:$17,2,0))</f>
        <v>1</v>
      </c>
      <c r="DB30" s="1">
        <f t="shared" ref="DB30" si="221">IF(DB29&gt;$D$17,$C$17,HLOOKUP(DB29,$16:$17,2,0))</f>
        <v>1</v>
      </c>
      <c r="DC30" s="1">
        <f t="shared" ref="DC30" si="222">IF(DC29&gt;$D$17,$C$17,HLOOKUP(DC29,$16:$17,2,0))</f>
        <v>1</v>
      </c>
      <c r="DD30" s="1">
        <f t="shared" ref="DD30" si="223">IF(DD29&gt;$D$17,$C$17,HLOOKUP(DD29,$16:$17,2,0))</f>
        <v>1</v>
      </c>
      <c r="DE30" s="1">
        <f t="shared" ref="DE30" si="224">IF(DE29&gt;$D$17,$C$17,HLOOKUP(DE29,$16:$17,2,0))</f>
        <v>1</v>
      </c>
      <c r="DF30" s="1">
        <f t="shared" ref="DF30" si="225">IF(DF29&gt;$D$17,$C$17,HLOOKUP(DF29,$16:$17,2,0))</f>
        <v>1</v>
      </c>
      <c r="DG30" s="1">
        <f t="shared" ref="DG30" si="226">IF(DG29&gt;$D$17,$C$17,HLOOKUP(DG29,$16:$17,2,0))</f>
        <v>1</v>
      </c>
      <c r="DH30" s="1">
        <f t="shared" ref="DH30" si="227">IF(DH29&gt;$D$17,$C$17,HLOOKUP(DH29,$16:$17,2,0))</f>
        <v>1</v>
      </c>
      <c r="DI30" s="1">
        <f t="shared" ref="DI30" si="228">IF(DI29&gt;$D$17,$C$17,HLOOKUP(DI29,$16:$17,2,0))</f>
        <v>1</v>
      </c>
      <c r="DJ30" s="1">
        <f t="shared" ref="DJ30" si="229">IF(DJ29&gt;$D$17,$C$17,HLOOKUP(DJ29,$16:$17,2,0))</f>
        <v>1</v>
      </c>
      <c r="DK30" s="1">
        <f t="shared" ref="DK30" si="230">IF(DK29&gt;$D$17,$C$17,HLOOKUP(DK29,$16:$17,2,0))</f>
        <v>1</v>
      </c>
      <c r="DL30" s="1">
        <f t="shared" ref="DL30" si="231">IF(DL29&gt;$D$17,$C$17,HLOOKUP(DL29,$16:$17,2,0))</f>
        <v>1</v>
      </c>
      <c r="DM30" s="1">
        <f t="shared" ref="DM30" si="232">IF(DM29&gt;$D$17,$C$17,HLOOKUP(DM29,$16:$17,2,0))</f>
        <v>1</v>
      </c>
      <c r="DN30" s="1">
        <f t="shared" ref="DN30" si="233">IF(DN29&gt;$D$17,$C$17,HLOOKUP(DN29,$16:$17,2,0))</f>
        <v>1</v>
      </c>
      <c r="DO30" s="1">
        <f t="shared" ref="DO30" si="234">IF(DO29&gt;$D$17,$C$17,HLOOKUP(DO29,$16:$17,2,0))</f>
        <v>1</v>
      </c>
      <c r="DP30" s="1">
        <f t="shared" ref="DP30" si="235">IF(DP29&gt;$D$17,$C$17,HLOOKUP(DP29,$16:$17,2,0))</f>
        <v>1</v>
      </c>
      <c r="DQ30" s="1">
        <f t="shared" ref="DQ30" si="236">IF(DQ29&gt;$D$17,$C$17,HLOOKUP(DQ29,$16:$17,2,0))</f>
        <v>1</v>
      </c>
      <c r="DR30" s="1">
        <f t="shared" ref="DR30" si="237">IF(DR29&gt;$D$17,$C$17,HLOOKUP(DR29,$16:$17,2,0))</f>
        <v>1</v>
      </c>
      <c r="DS30" s="1">
        <f t="shared" ref="DS30" si="238">IF(DS29&gt;$D$17,$C$17,HLOOKUP(DS29,$16:$17,2,0))</f>
        <v>1</v>
      </c>
      <c r="DT30" s="1">
        <f t="shared" ref="DT30" si="239">IF(DT29&gt;$D$17,$C$17,HLOOKUP(DT29,$16:$17,2,0))</f>
        <v>1</v>
      </c>
      <c r="DU30" s="1">
        <f t="shared" ref="DU30" si="240">IF(DU29&gt;$D$17,$C$17,HLOOKUP(DU29,$16:$17,2,0))</f>
        <v>1</v>
      </c>
      <c r="DV30" s="1">
        <f t="shared" ref="DV30" si="241">IF(DV29&gt;$D$17,$C$17,HLOOKUP(DV29,$16:$17,2,0))</f>
        <v>1</v>
      </c>
      <c r="DW30" s="1">
        <f t="shared" ref="DW30" si="242">IF(DW29&gt;$D$17,$C$17,HLOOKUP(DW29,$16:$17,2,0))</f>
        <v>1</v>
      </c>
      <c r="DX30" s="12">
        <f t="shared" ref="DX30" si="243">IF(DX29&gt;$D$17,$C$17,HLOOKUP(DX29,$16:$17,2,0))</f>
        <v>1</v>
      </c>
    </row>
    <row r="31" spans="2:128" ht="17" thickBot="1" x14ac:dyDescent="0.25">
      <c r="B31" s="13" t="s">
        <v>17</v>
      </c>
      <c r="C31" s="15"/>
      <c r="D31" s="15">
        <f>IF(D29&gt;$D$18,$C$18,HLOOKUP(D29,$16:$18,3,0))</f>
        <v>0</v>
      </c>
      <c r="E31" s="15">
        <f t="shared" ref="E31:BP31" si="244">IF(E29&gt;$D$18,$C$18,HLOOKUP(E29,$16:$18,3,0))</f>
        <v>0</v>
      </c>
      <c r="F31" s="15">
        <f t="shared" si="244"/>
        <v>0</v>
      </c>
      <c r="G31" s="15">
        <f t="shared" si="244"/>
        <v>0</v>
      </c>
      <c r="H31" s="15">
        <f t="shared" si="244"/>
        <v>0</v>
      </c>
      <c r="I31" s="15">
        <f t="shared" si="244"/>
        <v>0</v>
      </c>
      <c r="J31" s="15">
        <f t="shared" si="244"/>
        <v>0</v>
      </c>
      <c r="K31" s="15">
        <f t="shared" si="244"/>
        <v>0</v>
      </c>
      <c r="L31" s="15">
        <f t="shared" si="244"/>
        <v>0</v>
      </c>
      <c r="M31" s="15">
        <f t="shared" si="244"/>
        <v>0</v>
      </c>
      <c r="N31" s="15">
        <f t="shared" si="244"/>
        <v>0.7</v>
      </c>
      <c r="O31" s="15">
        <f t="shared" si="244"/>
        <v>0.7097</v>
      </c>
      <c r="P31" s="15">
        <f t="shared" si="244"/>
        <v>0.71930000000000005</v>
      </c>
      <c r="Q31" s="15">
        <f t="shared" si="244"/>
        <v>0.71930000000000005</v>
      </c>
      <c r="R31" s="15">
        <f t="shared" si="244"/>
        <v>0.72899999999999998</v>
      </c>
      <c r="S31" s="15">
        <f t="shared" si="244"/>
        <v>0.73860000000000003</v>
      </c>
      <c r="T31" s="15">
        <f t="shared" si="244"/>
        <v>0.74829999999999997</v>
      </c>
      <c r="U31" s="15">
        <f t="shared" si="244"/>
        <v>0.75790000000000002</v>
      </c>
      <c r="V31" s="15">
        <f t="shared" si="244"/>
        <v>0.76759999999999995</v>
      </c>
      <c r="W31" s="15">
        <f t="shared" si="244"/>
        <v>0.7772</v>
      </c>
      <c r="X31" s="15">
        <f t="shared" si="244"/>
        <v>0.7772</v>
      </c>
      <c r="Y31" s="15">
        <f t="shared" si="244"/>
        <v>0.78690000000000004</v>
      </c>
      <c r="Z31" s="15">
        <f t="shared" si="244"/>
        <v>0.79659999999999997</v>
      </c>
      <c r="AA31" s="15">
        <f t="shared" si="244"/>
        <v>0.80620000000000003</v>
      </c>
      <c r="AB31" s="15">
        <f t="shared" si="244"/>
        <v>0.81589999999999996</v>
      </c>
      <c r="AC31" s="15">
        <f t="shared" si="244"/>
        <v>0.81589999999999996</v>
      </c>
      <c r="AD31" s="15">
        <f t="shared" si="244"/>
        <v>0.81589999999999996</v>
      </c>
      <c r="AE31" s="15">
        <f t="shared" si="244"/>
        <v>0.81589999999999996</v>
      </c>
      <c r="AF31" s="15">
        <f t="shared" si="244"/>
        <v>0.82550000000000001</v>
      </c>
      <c r="AG31" s="15">
        <f t="shared" si="244"/>
        <v>0.83520000000000005</v>
      </c>
      <c r="AH31" s="15">
        <f t="shared" si="244"/>
        <v>0.8448</v>
      </c>
      <c r="AI31" s="15">
        <f t="shared" si="244"/>
        <v>0.8448</v>
      </c>
      <c r="AJ31" s="15">
        <f t="shared" si="244"/>
        <v>0.8448</v>
      </c>
      <c r="AK31" s="15">
        <f t="shared" si="244"/>
        <v>0.8448</v>
      </c>
      <c r="AL31" s="15">
        <f t="shared" si="244"/>
        <v>0.8448</v>
      </c>
      <c r="AM31" s="15">
        <f t="shared" si="244"/>
        <v>0.8448</v>
      </c>
      <c r="AN31" s="15">
        <f t="shared" si="244"/>
        <v>0.8448</v>
      </c>
      <c r="AO31" s="15">
        <f t="shared" si="244"/>
        <v>0.8448</v>
      </c>
      <c r="AP31" s="15">
        <f t="shared" si="244"/>
        <v>0.85450000000000004</v>
      </c>
      <c r="AQ31" s="15">
        <f t="shared" si="244"/>
        <v>0.86409999999999998</v>
      </c>
      <c r="AR31" s="15">
        <f t="shared" si="244"/>
        <v>0.87380000000000002</v>
      </c>
      <c r="AS31" s="15">
        <f t="shared" si="244"/>
        <v>0.87380000000000002</v>
      </c>
      <c r="AT31" s="15">
        <f t="shared" si="244"/>
        <v>0.88339999999999996</v>
      </c>
      <c r="AU31" s="15">
        <f t="shared" si="244"/>
        <v>0.8931</v>
      </c>
      <c r="AV31" s="15">
        <f t="shared" si="244"/>
        <v>0.90280000000000005</v>
      </c>
      <c r="AW31" s="15">
        <f t="shared" si="244"/>
        <v>0.91239999999999999</v>
      </c>
      <c r="AX31" s="15">
        <f t="shared" si="244"/>
        <v>0.92210000000000003</v>
      </c>
      <c r="AY31" s="15">
        <f t="shared" si="244"/>
        <v>0.93169999999999997</v>
      </c>
      <c r="AZ31" s="15">
        <f t="shared" si="244"/>
        <v>0.93169999999999997</v>
      </c>
      <c r="BA31" s="15">
        <f t="shared" si="244"/>
        <v>0.94140000000000001</v>
      </c>
      <c r="BB31" s="15">
        <f t="shared" si="244"/>
        <v>0.95099999999999996</v>
      </c>
      <c r="BC31" s="15">
        <f t="shared" si="244"/>
        <v>0.9607</v>
      </c>
      <c r="BD31" s="15">
        <f t="shared" si="244"/>
        <v>0.97030000000000005</v>
      </c>
      <c r="BE31" s="15">
        <f t="shared" si="244"/>
        <v>0.98</v>
      </c>
      <c r="BF31" s="15">
        <f t="shared" si="244"/>
        <v>0.98</v>
      </c>
      <c r="BG31" s="15">
        <f t="shared" si="244"/>
        <v>0.98</v>
      </c>
      <c r="BH31" s="15">
        <f t="shared" si="244"/>
        <v>0.98</v>
      </c>
      <c r="BI31" s="15">
        <f t="shared" si="244"/>
        <v>0.98</v>
      </c>
      <c r="BJ31" s="15">
        <f t="shared" si="244"/>
        <v>0.98</v>
      </c>
      <c r="BK31" s="15">
        <f t="shared" si="244"/>
        <v>0.98</v>
      </c>
      <c r="BL31" s="15">
        <f t="shared" si="244"/>
        <v>0.98</v>
      </c>
      <c r="BM31" s="15">
        <f t="shared" si="244"/>
        <v>0.98</v>
      </c>
      <c r="BN31" s="15">
        <f t="shared" si="244"/>
        <v>0.98</v>
      </c>
      <c r="BO31" s="15">
        <f t="shared" si="244"/>
        <v>0.98</v>
      </c>
      <c r="BP31" s="15">
        <f t="shared" si="244"/>
        <v>0.98</v>
      </c>
      <c r="BQ31" s="15">
        <f t="shared" ref="BQ31:DX31" si="245">IF(BQ29&gt;$D$18,$C$18,HLOOKUP(BQ29,$16:$18,3,0))</f>
        <v>0.98</v>
      </c>
      <c r="BR31" s="15">
        <f t="shared" si="245"/>
        <v>0.98</v>
      </c>
      <c r="BS31" s="15">
        <f t="shared" si="245"/>
        <v>0.98</v>
      </c>
      <c r="BT31" s="15">
        <f t="shared" si="245"/>
        <v>0.98</v>
      </c>
      <c r="BU31" s="15">
        <f t="shared" si="245"/>
        <v>0.98</v>
      </c>
      <c r="BV31" s="15">
        <f t="shared" si="245"/>
        <v>0.98</v>
      </c>
      <c r="BW31" s="15">
        <f t="shared" si="245"/>
        <v>0.98</v>
      </c>
      <c r="BX31" s="15">
        <f t="shared" si="245"/>
        <v>0.98</v>
      </c>
      <c r="BY31" s="15">
        <f t="shared" si="245"/>
        <v>0.98</v>
      </c>
      <c r="BZ31" s="15">
        <f t="shared" si="245"/>
        <v>0.98</v>
      </c>
      <c r="CA31" s="15">
        <f t="shared" si="245"/>
        <v>0.98</v>
      </c>
      <c r="CB31" s="15">
        <f t="shared" si="245"/>
        <v>0.98</v>
      </c>
      <c r="CC31" s="15">
        <f t="shared" si="245"/>
        <v>0.98</v>
      </c>
      <c r="CD31" s="15">
        <f t="shared" si="245"/>
        <v>0.98</v>
      </c>
      <c r="CE31" s="15">
        <f t="shared" si="245"/>
        <v>0.98</v>
      </c>
      <c r="CF31" s="15">
        <f t="shared" si="245"/>
        <v>0.98</v>
      </c>
      <c r="CG31" s="15">
        <f t="shared" si="245"/>
        <v>0.98</v>
      </c>
      <c r="CH31" s="15">
        <f t="shared" si="245"/>
        <v>0.98</v>
      </c>
      <c r="CI31" s="15">
        <f t="shared" si="245"/>
        <v>0.98</v>
      </c>
      <c r="CJ31" s="15">
        <f t="shared" si="245"/>
        <v>0.98</v>
      </c>
      <c r="CK31" s="15">
        <f t="shared" si="245"/>
        <v>0.98</v>
      </c>
      <c r="CL31" s="15">
        <f t="shared" si="245"/>
        <v>0.98</v>
      </c>
      <c r="CM31" s="15">
        <f t="shared" si="245"/>
        <v>0.98</v>
      </c>
      <c r="CN31" s="15">
        <f t="shared" si="245"/>
        <v>0.98</v>
      </c>
      <c r="CO31" s="15">
        <f t="shared" si="245"/>
        <v>0.98</v>
      </c>
      <c r="CP31" s="15">
        <f t="shared" si="245"/>
        <v>0.98</v>
      </c>
      <c r="CQ31" s="15">
        <f t="shared" si="245"/>
        <v>0.98</v>
      </c>
      <c r="CR31" s="15">
        <f t="shared" si="245"/>
        <v>0.98</v>
      </c>
      <c r="CS31" s="15">
        <f t="shared" si="245"/>
        <v>0.98</v>
      </c>
      <c r="CT31" s="15">
        <f t="shared" si="245"/>
        <v>0.98</v>
      </c>
      <c r="CU31" s="15">
        <f t="shared" si="245"/>
        <v>0.98</v>
      </c>
      <c r="CV31" s="15">
        <f t="shared" si="245"/>
        <v>0.98</v>
      </c>
      <c r="CW31" s="15">
        <f t="shared" si="245"/>
        <v>0.98</v>
      </c>
      <c r="CX31" s="15">
        <f t="shared" si="245"/>
        <v>0.98</v>
      </c>
      <c r="CY31" s="15">
        <f t="shared" si="245"/>
        <v>0.98</v>
      </c>
      <c r="CZ31" s="15">
        <f t="shared" si="245"/>
        <v>0.98</v>
      </c>
      <c r="DA31" s="15">
        <f t="shared" si="245"/>
        <v>0.98</v>
      </c>
      <c r="DB31" s="15">
        <f t="shared" si="245"/>
        <v>0.98</v>
      </c>
      <c r="DC31" s="15">
        <f t="shared" si="245"/>
        <v>0.98</v>
      </c>
      <c r="DD31" s="15">
        <f t="shared" si="245"/>
        <v>0.98</v>
      </c>
      <c r="DE31" s="15">
        <f t="shared" si="245"/>
        <v>0.98</v>
      </c>
      <c r="DF31" s="15">
        <f t="shared" si="245"/>
        <v>0.98</v>
      </c>
      <c r="DG31" s="15">
        <f t="shared" si="245"/>
        <v>0.98</v>
      </c>
      <c r="DH31" s="15">
        <f t="shared" si="245"/>
        <v>0.98</v>
      </c>
      <c r="DI31" s="15">
        <f t="shared" si="245"/>
        <v>0.98</v>
      </c>
      <c r="DJ31" s="15">
        <f t="shared" si="245"/>
        <v>0.98</v>
      </c>
      <c r="DK31" s="15">
        <f t="shared" si="245"/>
        <v>0.98</v>
      </c>
      <c r="DL31" s="15">
        <f t="shared" si="245"/>
        <v>0.98</v>
      </c>
      <c r="DM31" s="15">
        <f t="shared" si="245"/>
        <v>0.98</v>
      </c>
      <c r="DN31" s="15">
        <f t="shared" si="245"/>
        <v>0.98</v>
      </c>
      <c r="DO31" s="15">
        <f t="shared" si="245"/>
        <v>0.98</v>
      </c>
      <c r="DP31" s="15">
        <f t="shared" si="245"/>
        <v>0.98</v>
      </c>
      <c r="DQ31" s="15">
        <f t="shared" si="245"/>
        <v>0.98</v>
      </c>
      <c r="DR31" s="15">
        <f t="shared" si="245"/>
        <v>0.98</v>
      </c>
      <c r="DS31" s="15">
        <f t="shared" si="245"/>
        <v>0.98</v>
      </c>
      <c r="DT31" s="15">
        <f t="shared" si="245"/>
        <v>0.98</v>
      </c>
      <c r="DU31" s="15">
        <f t="shared" si="245"/>
        <v>0.98</v>
      </c>
      <c r="DV31" s="15">
        <f t="shared" si="245"/>
        <v>0.98</v>
      </c>
      <c r="DW31" s="15">
        <f t="shared" si="245"/>
        <v>0.98</v>
      </c>
      <c r="DX31" s="16">
        <f t="shared" si="245"/>
        <v>0.98</v>
      </c>
    </row>
    <row r="32" spans="2:128" s="5" customFormat="1" x14ac:dyDescent="0.2">
      <c r="B32" s="8" t="s">
        <v>18</v>
      </c>
      <c r="C32" s="9"/>
      <c r="D32" s="9">
        <f>IF(D$22="Sun",C32,IF(D$21=$E$14,1,IF(D$21&lt;$E$14,0,C32+1)))</f>
        <v>0</v>
      </c>
      <c r="E32" s="9">
        <f t="shared" ref="E32:BP32" si="246">IF(E$22="Sun",D32,IF(E$21=$E$14,1,IF(E$21&lt;$E$14,0,D32+1)))</f>
        <v>0</v>
      </c>
      <c r="F32" s="9">
        <f t="shared" si="246"/>
        <v>0</v>
      </c>
      <c r="G32" s="9">
        <f t="shared" si="246"/>
        <v>0</v>
      </c>
      <c r="H32" s="9">
        <f t="shared" si="246"/>
        <v>0</v>
      </c>
      <c r="I32" s="9">
        <f t="shared" si="246"/>
        <v>0</v>
      </c>
      <c r="J32" s="9">
        <f t="shared" si="246"/>
        <v>0</v>
      </c>
      <c r="K32" s="9">
        <f t="shared" si="246"/>
        <v>1</v>
      </c>
      <c r="L32" s="9">
        <f t="shared" si="246"/>
        <v>2</v>
      </c>
      <c r="M32" s="9">
        <f t="shared" si="246"/>
        <v>3</v>
      </c>
      <c r="N32" s="9">
        <f t="shared" si="246"/>
        <v>4</v>
      </c>
      <c r="O32" s="9">
        <f t="shared" si="246"/>
        <v>5</v>
      </c>
      <c r="P32" s="9">
        <f t="shared" si="246"/>
        <v>6</v>
      </c>
      <c r="Q32" s="9">
        <f t="shared" si="246"/>
        <v>6</v>
      </c>
      <c r="R32" s="9">
        <f t="shared" si="246"/>
        <v>7</v>
      </c>
      <c r="S32" s="9">
        <f t="shared" si="246"/>
        <v>8</v>
      </c>
      <c r="T32" s="9">
        <f t="shared" si="246"/>
        <v>9</v>
      </c>
      <c r="U32" s="9">
        <f t="shared" si="246"/>
        <v>10</v>
      </c>
      <c r="V32" s="9">
        <f t="shared" si="246"/>
        <v>11</v>
      </c>
      <c r="W32" s="9">
        <f t="shared" si="246"/>
        <v>12</v>
      </c>
      <c r="X32" s="9">
        <f t="shared" si="246"/>
        <v>12</v>
      </c>
      <c r="Y32" s="9">
        <f t="shared" si="246"/>
        <v>13</v>
      </c>
      <c r="Z32" s="9">
        <f t="shared" si="246"/>
        <v>14</v>
      </c>
      <c r="AA32" s="9">
        <f t="shared" si="246"/>
        <v>15</v>
      </c>
      <c r="AB32" s="9">
        <f t="shared" si="246"/>
        <v>16</v>
      </c>
      <c r="AC32" s="26">
        <f>AB32</f>
        <v>16</v>
      </c>
      <c r="AD32" s="26">
        <f>AC32</f>
        <v>16</v>
      </c>
      <c r="AE32" s="26">
        <f>AD32</f>
        <v>16</v>
      </c>
      <c r="AF32" s="9">
        <f t="shared" si="246"/>
        <v>17</v>
      </c>
      <c r="AG32" s="9">
        <f t="shared" si="246"/>
        <v>18</v>
      </c>
      <c r="AH32" s="9">
        <f t="shared" si="246"/>
        <v>19</v>
      </c>
      <c r="AI32" s="26">
        <f>AH32</f>
        <v>19</v>
      </c>
      <c r="AJ32" s="26">
        <f t="shared" ref="AJ32:AO32" si="247">AI32</f>
        <v>19</v>
      </c>
      <c r="AK32" s="26">
        <f t="shared" si="247"/>
        <v>19</v>
      </c>
      <c r="AL32" s="26">
        <f t="shared" si="247"/>
        <v>19</v>
      </c>
      <c r="AM32" s="26">
        <f t="shared" si="247"/>
        <v>19</v>
      </c>
      <c r="AN32" s="26">
        <f t="shared" si="247"/>
        <v>19</v>
      </c>
      <c r="AO32" s="26">
        <f t="shared" si="247"/>
        <v>19</v>
      </c>
      <c r="AP32" s="9">
        <f t="shared" si="246"/>
        <v>20</v>
      </c>
      <c r="AQ32" s="9">
        <f t="shared" si="246"/>
        <v>21</v>
      </c>
      <c r="AR32" s="9">
        <f t="shared" si="246"/>
        <v>22</v>
      </c>
      <c r="AS32" s="9">
        <f t="shared" si="246"/>
        <v>22</v>
      </c>
      <c r="AT32" s="9">
        <f t="shared" si="246"/>
        <v>23</v>
      </c>
      <c r="AU32" s="9">
        <f t="shared" si="246"/>
        <v>24</v>
      </c>
      <c r="AV32" s="9">
        <f t="shared" si="246"/>
        <v>25</v>
      </c>
      <c r="AW32" s="9">
        <f t="shared" si="246"/>
        <v>26</v>
      </c>
      <c r="AX32" s="9">
        <f t="shared" si="246"/>
        <v>27</v>
      </c>
      <c r="AY32" s="9">
        <f t="shared" si="246"/>
        <v>28</v>
      </c>
      <c r="AZ32" s="9">
        <f t="shared" si="246"/>
        <v>28</v>
      </c>
      <c r="BA32" s="9">
        <f t="shared" si="246"/>
        <v>29</v>
      </c>
      <c r="BB32" s="9">
        <f t="shared" si="246"/>
        <v>30</v>
      </c>
      <c r="BC32" s="9">
        <f t="shared" si="246"/>
        <v>31</v>
      </c>
      <c r="BD32" s="9">
        <f t="shared" si="246"/>
        <v>32</v>
      </c>
      <c r="BE32" s="9">
        <f t="shared" si="246"/>
        <v>33</v>
      </c>
      <c r="BF32" s="9">
        <f t="shared" si="246"/>
        <v>34</v>
      </c>
      <c r="BG32" s="9">
        <f t="shared" si="246"/>
        <v>34</v>
      </c>
      <c r="BH32" s="9">
        <f t="shared" si="246"/>
        <v>35</v>
      </c>
      <c r="BI32" s="9">
        <f t="shared" si="246"/>
        <v>36</v>
      </c>
      <c r="BJ32" s="9">
        <f t="shared" si="246"/>
        <v>37</v>
      </c>
      <c r="BK32" s="9">
        <f t="shared" si="246"/>
        <v>38</v>
      </c>
      <c r="BL32" s="9">
        <f t="shared" si="246"/>
        <v>39</v>
      </c>
      <c r="BM32" s="9">
        <f t="shared" si="246"/>
        <v>40</v>
      </c>
      <c r="BN32" s="9">
        <f t="shared" si="246"/>
        <v>40</v>
      </c>
      <c r="BO32" s="9">
        <f t="shared" si="246"/>
        <v>41</v>
      </c>
      <c r="BP32" s="9">
        <f t="shared" si="246"/>
        <v>42</v>
      </c>
      <c r="BQ32" s="9">
        <f t="shared" ref="BQ32:DX32" si="248">IF(BQ$22="Sun",BP32,IF(BQ$21=$E$14,1,IF(BQ$21&lt;$E$14,0,BP32+1)))</f>
        <v>43</v>
      </c>
      <c r="BR32" s="9">
        <f t="shared" si="248"/>
        <v>44</v>
      </c>
      <c r="BS32" s="9">
        <f t="shared" si="248"/>
        <v>45</v>
      </c>
      <c r="BT32" s="9">
        <f t="shared" si="248"/>
        <v>46</v>
      </c>
      <c r="BU32" s="9">
        <f t="shared" si="248"/>
        <v>46</v>
      </c>
      <c r="BV32" s="9">
        <f t="shared" si="248"/>
        <v>47</v>
      </c>
      <c r="BW32" s="9">
        <f t="shared" si="248"/>
        <v>48</v>
      </c>
      <c r="BX32" s="9">
        <f t="shared" si="248"/>
        <v>49</v>
      </c>
      <c r="BY32" s="9">
        <f t="shared" si="248"/>
        <v>50</v>
      </c>
      <c r="BZ32" s="9">
        <f t="shared" si="248"/>
        <v>51</v>
      </c>
      <c r="CA32" s="9">
        <f t="shared" si="248"/>
        <v>52</v>
      </c>
      <c r="CB32" s="9">
        <f t="shared" si="248"/>
        <v>52</v>
      </c>
      <c r="CC32" s="9">
        <f t="shared" si="248"/>
        <v>53</v>
      </c>
      <c r="CD32" s="9">
        <f t="shared" si="248"/>
        <v>54</v>
      </c>
      <c r="CE32" s="9">
        <f t="shared" si="248"/>
        <v>55</v>
      </c>
      <c r="CF32" s="9">
        <f t="shared" si="248"/>
        <v>56</v>
      </c>
      <c r="CG32" s="9">
        <f t="shared" si="248"/>
        <v>57</v>
      </c>
      <c r="CH32" s="9">
        <f t="shared" si="248"/>
        <v>58</v>
      </c>
      <c r="CI32" s="9">
        <f t="shared" si="248"/>
        <v>58</v>
      </c>
      <c r="CJ32" s="9">
        <f t="shared" si="248"/>
        <v>59</v>
      </c>
      <c r="CK32" s="9">
        <f t="shared" si="248"/>
        <v>60</v>
      </c>
      <c r="CL32" s="9">
        <f t="shared" si="248"/>
        <v>61</v>
      </c>
      <c r="CM32" s="9">
        <f t="shared" si="248"/>
        <v>62</v>
      </c>
      <c r="CN32" s="9">
        <f t="shared" si="248"/>
        <v>63</v>
      </c>
      <c r="CO32" s="9">
        <f t="shared" si="248"/>
        <v>64</v>
      </c>
      <c r="CP32" s="9">
        <f t="shared" si="248"/>
        <v>64</v>
      </c>
      <c r="CQ32" s="9">
        <f t="shared" si="248"/>
        <v>65</v>
      </c>
      <c r="CR32" s="9">
        <f t="shared" si="248"/>
        <v>66</v>
      </c>
      <c r="CS32" s="9">
        <f t="shared" si="248"/>
        <v>67</v>
      </c>
      <c r="CT32" s="9">
        <f t="shared" si="248"/>
        <v>68</v>
      </c>
      <c r="CU32" s="9">
        <f t="shared" si="248"/>
        <v>69</v>
      </c>
      <c r="CV32" s="9">
        <f t="shared" si="248"/>
        <v>70</v>
      </c>
      <c r="CW32" s="9">
        <f t="shared" si="248"/>
        <v>70</v>
      </c>
      <c r="CX32" s="9">
        <f t="shared" si="248"/>
        <v>71</v>
      </c>
      <c r="CY32" s="9">
        <f t="shared" si="248"/>
        <v>72</v>
      </c>
      <c r="CZ32" s="9">
        <f t="shared" si="248"/>
        <v>73</v>
      </c>
      <c r="DA32" s="9">
        <f t="shared" si="248"/>
        <v>74</v>
      </c>
      <c r="DB32" s="9">
        <f t="shared" si="248"/>
        <v>75</v>
      </c>
      <c r="DC32" s="9">
        <f t="shared" si="248"/>
        <v>76</v>
      </c>
      <c r="DD32" s="9">
        <f t="shared" si="248"/>
        <v>76</v>
      </c>
      <c r="DE32" s="9">
        <f t="shared" si="248"/>
        <v>77</v>
      </c>
      <c r="DF32" s="9">
        <f t="shared" si="248"/>
        <v>78</v>
      </c>
      <c r="DG32" s="9">
        <f t="shared" si="248"/>
        <v>79</v>
      </c>
      <c r="DH32" s="9">
        <f t="shared" si="248"/>
        <v>80</v>
      </c>
      <c r="DI32" s="9">
        <f t="shared" si="248"/>
        <v>81</v>
      </c>
      <c r="DJ32" s="9">
        <f t="shared" si="248"/>
        <v>82</v>
      </c>
      <c r="DK32" s="9">
        <f t="shared" si="248"/>
        <v>82</v>
      </c>
      <c r="DL32" s="9">
        <f t="shared" si="248"/>
        <v>83</v>
      </c>
      <c r="DM32" s="9">
        <f t="shared" si="248"/>
        <v>84</v>
      </c>
      <c r="DN32" s="9">
        <f t="shared" si="248"/>
        <v>85</v>
      </c>
      <c r="DO32" s="9">
        <f t="shared" si="248"/>
        <v>86</v>
      </c>
      <c r="DP32" s="9">
        <f t="shared" si="248"/>
        <v>87</v>
      </c>
      <c r="DQ32" s="9">
        <f t="shared" si="248"/>
        <v>88</v>
      </c>
      <c r="DR32" s="9">
        <f t="shared" si="248"/>
        <v>88</v>
      </c>
      <c r="DS32" s="9">
        <f t="shared" si="248"/>
        <v>89</v>
      </c>
      <c r="DT32" s="9">
        <f t="shared" si="248"/>
        <v>90</v>
      </c>
      <c r="DU32" s="9">
        <f t="shared" si="248"/>
        <v>91</v>
      </c>
      <c r="DV32" s="9">
        <f t="shared" si="248"/>
        <v>92</v>
      </c>
      <c r="DW32" s="9">
        <f t="shared" si="248"/>
        <v>93</v>
      </c>
      <c r="DX32" s="10">
        <f t="shared" si="248"/>
        <v>94</v>
      </c>
    </row>
    <row r="33" spans="2:128" x14ac:dyDescent="0.2">
      <c r="B33" s="11" t="s">
        <v>16</v>
      </c>
      <c r="D33" s="1">
        <f>IF(D32&gt;$D$17,$C$17,HLOOKUP(D32,$16:$17,2,0))</f>
        <v>0</v>
      </c>
      <c r="E33" s="1">
        <f t="shared" ref="E33" si="249">IF(E32&gt;$D$17,$C$17,HLOOKUP(E32,$16:$17,2,0))</f>
        <v>0</v>
      </c>
      <c r="F33" s="1">
        <f t="shared" ref="F33" si="250">IF(F32&gt;$D$17,$C$17,HLOOKUP(F32,$16:$17,2,0))</f>
        <v>0</v>
      </c>
      <c r="G33" s="1">
        <f t="shared" ref="G33" si="251">IF(G32&gt;$D$17,$C$17,HLOOKUP(G32,$16:$17,2,0))</f>
        <v>0</v>
      </c>
      <c r="H33" s="1">
        <f t="shared" ref="H33" si="252">IF(H32&gt;$D$17,$C$17,HLOOKUP(H32,$16:$17,2,0))</f>
        <v>0</v>
      </c>
      <c r="I33" s="1">
        <f t="shared" ref="I33" si="253">IF(I32&gt;$D$17,$C$17,HLOOKUP(I32,$16:$17,2,0))</f>
        <v>0</v>
      </c>
      <c r="J33" s="1">
        <f t="shared" ref="J33" si="254">IF(J32&gt;$D$17,$C$17,HLOOKUP(J32,$16:$17,2,0))</f>
        <v>0</v>
      </c>
      <c r="K33" s="1">
        <f t="shared" ref="K33" si="255">IF(K32&gt;$D$17,$C$17,HLOOKUP(K32,$16:$17,2,0))</f>
        <v>0.5</v>
      </c>
      <c r="L33" s="1">
        <f t="shared" ref="L33" si="256">IF(L32&gt;$D$17,$C$17,HLOOKUP(L32,$16:$17,2,0))</f>
        <v>0.52</v>
      </c>
      <c r="M33" s="1">
        <f t="shared" ref="M33" si="257">IF(M32&gt;$D$17,$C$17,HLOOKUP(M32,$16:$17,2,0))</f>
        <v>0.53</v>
      </c>
      <c r="N33" s="1">
        <f t="shared" ref="N33" si="258">IF(N32&gt;$D$17,$C$17,HLOOKUP(N32,$16:$17,2,0))</f>
        <v>0.55000000000000004</v>
      </c>
      <c r="O33" s="1">
        <f t="shared" ref="O33" si="259">IF(O32&gt;$D$17,$C$17,HLOOKUP(O32,$16:$17,2,0))</f>
        <v>0.56999999999999995</v>
      </c>
      <c r="P33" s="1">
        <f t="shared" ref="P33" si="260">IF(P32&gt;$D$17,$C$17,HLOOKUP(P32,$16:$17,2,0))</f>
        <v>0.59</v>
      </c>
      <c r="Q33" s="1">
        <f t="shared" ref="Q33" si="261">IF(Q32&gt;$D$17,$C$17,HLOOKUP(Q32,$16:$17,2,0))</f>
        <v>0.59</v>
      </c>
      <c r="R33" s="1">
        <f t="shared" ref="R33" si="262">IF(R32&gt;$D$17,$C$17,HLOOKUP(R32,$16:$17,2,0))</f>
        <v>0.6</v>
      </c>
      <c r="S33" s="1">
        <f t="shared" ref="S33" si="263">IF(S32&gt;$D$17,$C$17,HLOOKUP(S32,$16:$17,2,0))</f>
        <v>0.62</v>
      </c>
      <c r="T33" s="1">
        <f t="shared" ref="T33" si="264">IF(T32&gt;$D$17,$C$17,HLOOKUP(T32,$16:$17,2,0))</f>
        <v>0.64</v>
      </c>
      <c r="U33" s="1">
        <f t="shared" ref="U33" si="265">IF(U32&gt;$D$17,$C$17,HLOOKUP(U32,$16:$17,2,0))</f>
        <v>0.66</v>
      </c>
      <c r="V33" s="1">
        <f t="shared" ref="V33" si="266">IF(V32&gt;$D$17,$C$17,HLOOKUP(V32,$16:$17,2,0))</f>
        <v>0.67</v>
      </c>
      <c r="W33" s="1">
        <f t="shared" ref="W33" si="267">IF(W32&gt;$D$17,$C$17,HLOOKUP(W32,$16:$17,2,0))</f>
        <v>0.69</v>
      </c>
      <c r="X33" s="1">
        <f t="shared" ref="X33" si="268">IF(X32&gt;$D$17,$C$17,HLOOKUP(X32,$16:$17,2,0))</f>
        <v>0.69</v>
      </c>
      <c r="Y33" s="1">
        <f t="shared" ref="Y33" si="269">IF(Y32&gt;$D$17,$C$17,HLOOKUP(Y32,$16:$17,2,0))</f>
        <v>0.71</v>
      </c>
      <c r="Z33" s="1">
        <f t="shared" ref="Z33" si="270">IF(Z32&gt;$D$17,$C$17,HLOOKUP(Z32,$16:$17,2,0))</f>
        <v>0.72</v>
      </c>
      <c r="AA33" s="1">
        <f t="shared" ref="AA33" si="271">IF(AA32&gt;$D$17,$C$17,HLOOKUP(AA32,$16:$17,2,0))</f>
        <v>0.74</v>
      </c>
      <c r="AB33" s="1">
        <f t="shared" ref="AB33" si="272">IF(AB32&gt;$D$17,$C$17,HLOOKUP(AB32,$16:$17,2,0))</f>
        <v>0.76</v>
      </c>
      <c r="AC33" s="1">
        <f t="shared" ref="AC33" si="273">IF(AC32&gt;$D$17,$C$17,HLOOKUP(AC32,$16:$17,2,0))</f>
        <v>0.76</v>
      </c>
      <c r="AD33" s="1">
        <f t="shared" ref="AD33" si="274">IF(AD32&gt;$D$17,$C$17,HLOOKUP(AD32,$16:$17,2,0))</f>
        <v>0.76</v>
      </c>
      <c r="AE33" s="1">
        <f t="shared" ref="AE33" si="275">IF(AE32&gt;$D$17,$C$17,HLOOKUP(AE32,$16:$17,2,0))</f>
        <v>0.76</v>
      </c>
      <c r="AF33" s="1">
        <f t="shared" ref="AF33" si="276">IF(AF32&gt;$D$17,$C$17,HLOOKUP(AF32,$16:$17,2,0))</f>
        <v>0.78</v>
      </c>
      <c r="AG33" s="1">
        <f t="shared" ref="AG33" si="277">IF(AG32&gt;$D$17,$C$17,HLOOKUP(AG32,$16:$17,2,0))</f>
        <v>0.79</v>
      </c>
      <c r="AH33" s="1">
        <f t="shared" ref="AH33" si="278">IF(AH32&gt;$D$17,$C$17,HLOOKUP(AH32,$16:$17,2,0))</f>
        <v>0.81</v>
      </c>
      <c r="AI33" s="1">
        <f t="shared" ref="AI33" si="279">IF(AI32&gt;$D$17,$C$17,HLOOKUP(AI32,$16:$17,2,0))</f>
        <v>0.81</v>
      </c>
      <c r="AJ33" s="1">
        <f t="shared" ref="AJ33" si="280">IF(AJ32&gt;$D$17,$C$17,HLOOKUP(AJ32,$16:$17,2,0))</f>
        <v>0.81</v>
      </c>
      <c r="AK33" s="1">
        <f t="shared" ref="AK33" si="281">IF(AK32&gt;$D$17,$C$17,HLOOKUP(AK32,$16:$17,2,0))</f>
        <v>0.81</v>
      </c>
      <c r="AL33" s="1">
        <f t="shared" ref="AL33" si="282">IF(AL32&gt;$D$17,$C$17,HLOOKUP(AL32,$16:$17,2,0))</f>
        <v>0.81</v>
      </c>
      <c r="AM33" s="1">
        <f t="shared" ref="AM33" si="283">IF(AM32&gt;$D$17,$C$17,HLOOKUP(AM32,$16:$17,2,0))</f>
        <v>0.81</v>
      </c>
      <c r="AN33" s="1">
        <f t="shared" ref="AN33" si="284">IF(AN32&gt;$D$17,$C$17,HLOOKUP(AN32,$16:$17,2,0))</f>
        <v>0.81</v>
      </c>
      <c r="AO33" s="1">
        <f t="shared" ref="AO33" si="285">IF(AO32&gt;$D$17,$C$17,HLOOKUP(AO32,$16:$17,2,0))</f>
        <v>0.81</v>
      </c>
      <c r="AP33" s="1">
        <f t="shared" ref="AP33" si="286">IF(AP32&gt;$D$17,$C$17,HLOOKUP(AP32,$16:$17,2,0))</f>
        <v>0.83</v>
      </c>
      <c r="AQ33" s="1">
        <f t="shared" ref="AQ33" si="287">IF(AQ32&gt;$D$17,$C$17,HLOOKUP(AQ32,$16:$17,2,0))</f>
        <v>0.84</v>
      </c>
      <c r="AR33" s="1">
        <f t="shared" ref="AR33" si="288">IF(AR32&gt;$D$17,$C$17,HLOOKUP(AR32,$16:$17,2,0))</f>
        <v>0.86</v>
      </c>
      <c r="AS33" s="1">
        <f t="shared" ref="AS33" si="289">IF(AS32&gt;$D$17,$C$17,HLOOKUP(AS32,$16:$17,2,0))</f>
        <v>0.86</v>
      </c>
      <c r="AT33" s="1">
        <f t="shared" ref="AT33" si="290">IF(AT32&gt;$D$17,$C$17,HLOOKUP(AT32,$16:$17,2,0))</f>
        <v>0.88</v>
      </c>
      <c r="AU33" s="1">
        <f t="shared" ref="AU33" si="291">IF(AU32&gt;$D$17,$C$17,HLOOKUP(AU32,$16:$17,2,0))</f>
        <v>0.9</v>
      </c>
      <c r="AV33" s="1">
        <f t="shared" ref="AV33" si="292">IF(AV32&gt;$D$17,$C$17,HLOOKUP(AV32,$16:$17,2,0))</f>
        <v>0.91</v>
      </c>
      <c r="AW33" s="1">
        <f t="shared" ref="AW33" si="293">IF(AW32&gt;$D$17,$C$17,HLOOKUP(AW32,$16:$17,2,0))</f>
        <v>0.93</v>
      </c>
      <c r="AX33" s="1">
        <f t="shared" ref="AX33" si="294">IF(AX32&gt;$D$17,$C$17,HLOOKUP(AX32,$16:$17,2,0))</f>
        <v>0.95</v>
      </c>
      <c r="AY33" s="1">
        <f t="shared" ref="AY33" si="295">IF(AY32&gt;$D$17,$C$17,HLOOKUP(AY32,$16:$17,2,0))</f>
        <v>0.97</v>
      </c>
      <c r="AZ33" s="1">
        <f t="shared" ref="AZ33" si="296">IF(AZ32&gt;$D$17,$C$17,HLOOKUP(AZ32,$16:$17,2,0))</f>
        <v>0.97</v>
      </c>
      <c r="BA33" s="1">
        <f t="shared" ref="BA33" si="297">IF(BA32&gt;$D$17,$C$17,HLOOKUP(BA32,$16:$17,2,0))</f>
        <v>0.98</v>
      </c>
      <c r="BB33" s="1">
        <f t="shared" ref="BB33" si="298">IF(BB32&gt;$D$17,$C$17,HLOOKUP(BB32,$16:$17,2,0))</f>
        <v>1</v>
      </c>
      <c r="BC33" s="1">
        <f t="shared" ref="BC33" si="299">IF(BC32&gt;$D$17,$C$17,HLOOKUP(BC32,$16:$17,2,0))</f>
        <v>1</v>
      </c>
      <c r="BD33" s="1">
        <f t="shared" ref="BD33" si="300">IF(BD32&gt;$D$17,$C$17,HLOOKUP(BD32,$16:$17,2,0))</f>
        <v>1</v>
      </c>
      <c r="BE33" s="1">
        <f t="shared" ref="BE33" si="301">IF(BE32&gt;$D$17,$C$17,HLOOKUP(BE32,$16:$17,2,0))</f>
        <v>1</v>
      </c>
      <c r="BF33" s="1">
        <f t="shared" ref="BF33" si="302">IF(BF32&gt;$D$17,$C$17,HLOOKUP(BF32,$16:$17,2,0))</f>
        <v>1</v>
      </c>
      <c r="BG33" s="1">
        <f t="shared" ref="BG33" si="303">IF(BG32&gt;$D$17,$C$17,HLOOKUP(BG32,$16:$17,2,0))</f>
        <v>1</v>
      </c>
      <c r="BH33" s="1">
        <f t="shared" ref="BH33" si="304">IF(BH32&gt;$D$17,$C$17,HLOOKUP(BH32,$16:$17,2,0))</f>
        <v>1</v>
      </c>
      <c r="BI33" s="1">
        <f t="shared" ref="BI33" si="305">IF(BI32&gt;$D$17,$C$17,HLOOKUP(BI32,$16:$17,2,0))</f>
        <v>1</v>
      </c>
      <c r="BJ33" s="1">
        <f t="shared" ref="BJ33" si="306">IF(BJ32&gt;$D$17,$C$17,HLOOKUP(BJ32,$16:$17,2,0))</f>
        <v>1</v>
      </c>
      <c r="BK33" s="1">
        <f t="shared" ref="BK33" si="307">IF(BK32&gt;$D$17,$C$17,HLOOKUP(BK32,$16:$17,2,0))</f>
        <v>1</v>
      </c>
      <c r="BL33" s="1">
        <f t="shared" ref="BL33" si="308">IF(BL32&gt;$D$17,$C$17,HLOOKUP(BL32,$16:$17,2,0))</f>
        <v>1</v>
      </c>
      <c r="BM33" s="1">
        <f t="shared" ref="BM33" si="309">IF(BM32&gt;$D$17,$C$17,HLOOKUP(BM32,$16:$17,2,0))</f>
        <v>1</v>
      </c>
      <c r="BN33" s="1">
        <f t="shared" ref="BN33" si="310">IF(BN32&gt;$D$17,$C$17,HLOOKUP(BN32,$16:$17,2,0))</f>
        <v>1</v>
      </c>
      <c r="BO33" s="1">
        <f t="shared" ref="BO33" si="311">IF(BO32&gt;$D$17,$C$17,HLOOKUP(BO32,$16:$17,2,0))</f>
        <v>1</v>
      </c>
      <c r="BP33" s="1">
        <f t="shared" ref="BP33" si="312">IF(BP32&gt;$D$17,$C$17,HLOOKUP(BP32,$16:$17,2,0))</f>
        <v>1</v>
      </c>
      <c r="BQ33" s="1">
        <f t="shared" ref="BQ33" si="313">IF(BQ32&gt;$D$17,$C$17,HLOOKUP(BQ32,$16:$17,2,0))</f>
        <v>1</v>
      </c>
      <c r="BR33" s="1">
        <f t="shared" ref="BR33" si="314">IF(BR32&gt;$D$17,$C$17,HLOOKUP(BR32,$16:$17,2,0))</f>
        <v>1</v>
      </c>
      <c r="BS33" s="1">
        <f t="shared" ref="BS33" si="315">IF(BS32&gt;$D$17,$C$17,HLOOKUP(BS32,$16:$17,2,0))</f>
        <v>1</v>
      </c>
      <c r="BT33" s="1">
        <f t="shared" ref="BT33" si="316">IF(BT32&gt;$D$17,$C$17,HLOOKUP(BT32,$16:$17,2,0))</f>
        <v>1</v>
      </c>
      <c r="BU33" s="1">
        <f t="shared" ref="BU33" si="317">IF(BU32&gt;$D$17,$C$17,HLOOKUP(BU32,$16:$17,2,0))</f>
        <v>1</v>
      </c>
      <c r="BV33" s="1">
        <f t="shared" ref="BV33" si="318">IF(BV32&gt;$D$17,$C$17,HLOOKUP(BV32,$16:$17,2,0))</f>
        <v>1</v>
      </c>
      <c r="BW33" s="1">
        <f t="shared" ref="BW33" si="319">IF(BW32&gt;$D$17,$C$17,HLOOKUP(BW32,$16:$17,2,0))</f>
        <v>1</v>
      </c>
      <c r="BX33" s="1">
        <f t="shared" ref="BX33" si="320">IF(BX32&gt;$D$17,$C$17,HLOOKUP(BX32,$16:$17,2,0))</f>
        <v>1</v>
      </c>
      <c r="BY33" s="1">
        <f t="shared" ref="BY33" si="321">IF(BY32&gt;$D$17,$C$17,HLOOKUP(BY32,$16:$17,2,0))</f>
        <v>1</v>
      </c>
      <c r="BZ33" s="1">
        <f t="shared" ref="BZ33" si="322">IF(BZ32&gt;$D$17,$C$17,HLOOKUP(BZ32,$16:$17,2,0))</f>
        <v>1</v>
      </c>
      <c r="CA33" s="1">
        <f t="shared" ref="CA33" si="323">IF(CA32&gt;$D$17,$C$17,HLOOKUP(CA32,$16:$17,2,0))</f>
        <v>1</v>
      </c>
      <c r="CB33" s="1">
        <f t="shared" ref="CB33" si="324">IF(CB32&gt;$D$17,$C$17,HLOOKUP(CB32,$16:$17,2,0))</f>
        <v>1</v>
      </c>
      <c r="CC33" s="1">
        <f t="shared" ref="CC33" si="325">IF(CC32&gt;$D$17,$C$17,HLOOKUP(CC32,$16:$17,2,0))</f>
        <v>1</v>
      </c>
      <c r="CD33" s="1">
        <f t="shared" ref="CD33" si="326">IF(CD32&gt;$D$17,$C$17,HLOOKUP(CD32,$16:$17,2,0))</f>
        <v>1</v>
      </c>
      <c r="CE33" s="1">
        <f t="shared" ref="CE33" si="327">IF(CE32&gt;$D$17,$C$17,HLOOKUP(CE32,$16:$17,2,0))</f>
        <v>1</v>
      </c>
      <c r="CF33" s="1">
        <f t="shared" ref="CF33" si="328">IF(CF32&gt;$D$17,$C$17,HLOOKUP(CF32,$16:$17,2,0))</f>
        <v>1</v>
      </c>
      <c r="CG33" s="1">
        <f t="shared" ref="CG33" si="329">IF(CG32&gt;$D$17,$C$17,HLOOKUP(CG32,$16:$17,2,0))</f>
        <v>1</v>
      </c>
      <c r="CH33" s="1">
        <f t="shared" ref="CH33" si="330">IF(CH32&gt;$D$17,$C$17,HLOOKUP(CH32,$16:$17,2,0))</f>
        <v>1</v>
      </c>
      <c r="CI33" s="1">
        <f t="shared" ref="CI33" si="331">IF(CI32&gt;$D$17,$C$17,HLOOKUP(CI32,$16:$17,2,0))</f>
        <v>1</v>
      </c>
      <c r="CJ33" s="1">
        <f t="shared" ref="CJ33" si="332">IF(CJ32&gt;$D$17,$C$17,HLOOKUP(CJ32,$16:$17,2,0))</f>
        <v>1</v>
      </c>
      <c r="CK33" s="1">
        <f t="shared" ref="CK33" si="333">IF(CK32&gt;$D$17,$C$17,HLOOKUP(CK32,$16:$17,2,0))</f>
        <v>1</v>
      </c>
      <c r="CL33" s="1">
        <f t="shared" ref="CL33" si="334">IF(CL32&gt;$D$17,$C$17,HLOOKUP(CL32,$16:$17,2,0))</f>
        <v>1</v>
      </c>
      <c r="CM33" s="1">
        <f t="shared" ref="CM33" si="335">IF(CM32&gt;$D$17,$C$17,HLOOKUP(CM32,$16:$17,2,0))</f>
        <v>1</v>
      </c>
      <c r="CN33" s="1">
        <f t="shared" ref="CN33" si="336">IF(CN32&gt;$D$17,$C$17,HLOOKUP(CN32,$16:$17,2,0))</f>
        <v>1</v>
      </c>
      <c r="CO33" s="1">
        <f t="shared" ref="CO33" si="337">IF(CO32&gt;$D$17,$C$17,HLOOKUP(CO32,$16:$17,2,0))</f>
        <v>1</v>
      </c>
      <c r="CP33" s="1">
        <f t="shared" ref="CP33" si="338">IF(CP32&gt;$D$17,$C$17,HLOOKUP(CP32,$16:$17,2,0))</f>
        <v>1</v>
      </c>
      <c r="CQ33" s="1">
        <f t="shared" ref="CQ33" si="339">IF(CQ32&gt;$D$17,$C$17,HLOOKUP(CQ32,$16:$17,2,0))</f>
        <v>1</v>
      </c>
      <c r="CR33" s="1">
        <f t="shared" ref="CR33" si="340">IF(CR32&gt;$D$17,$C$17,HLOOKUP(CR32,$16:$17,2,0))</f>
        <v>1</v>
      </c>
      <c r="CS33" s="1">
        <f t="shared" ref="CS33" si="341">IF(CS32&gt;$D$17,$C$17,HLOOKUP(CS32,$16:$17,2,0))</f>
        <v>1</v>
      </c>
      <c r="CT33" s="1">
        <f t="shared" ref="CT33" si="342">IF(CT32&gt;$D$17,$C$17,HLOOKUP(CT32,$16:$17,2,0))</f>
        <v>1</v>
      </c>
      <c r="CU33" s="1">
        <f t="shared" ref="CU33" si="343">IF(CU32&gt;$D$17,$C$17,HLOOKUP(CU32,$16:$17,2,0))</f>
        <v>1</v>
      </c>
      <c r="CV33" s="1">
        <f t="shared" ref="CV33" si="344">IF(CV32&gt;$D$17,$C$17,HLOOKUP(CV32,$16:$17,2,0))</f>
        <v>1</v>
      </c>
      <c r="CW33" s="1">
        <f t="shared" ref="CW33" si="345">IF(CW32&gt;$D$17,$C$17,HLOOKUP(CW32,$16:$17,2,0))</f>
        <v>1</v>
      </c>
      <c r="CX33" s="1">
        <f t="shared" ref="CX33" si="346">IF(CX32&gt;$D$17,$C$17,HLOOKUP(CX32,$16:$17,2,0))</f>
        <v>1</v>
      </c>
      <c r="CY33" s="1">
        <f t="shared" ref="CY33" si="347">IF(CY32&gt;$D$17,$C$17,HLOOKUP(CY32,$16:$17,2,0))</f>
        <v>1</v>
      </c>
      <c r="CZ33" s="1">
        <f t="shared" ref="CZ33" si="348">IF(CZ32&gt;$D$17,$C$17,HLOOKUP(CZ32,$16:$17,2,0))</f>
        <v>1</v>
      </c>
      <c r="DA33" s="1">
        <f t="shared" ref="DA33" si="349">IF(DA32&gt;$D$17,$C$17,HLOOKUP(DA32,$16:$17,2,0))</f>
        <v>1</v>
      </c>
      <c r="DB33" s="1">
        <f t="shared" ref="DB33" si="350">IF(DB32&gt;$D$17,$C$17,HLOOKUP(DB32,$16:$17,2,0))</f>
        <v>1</v>
      </c>
      <c r="DC33" s="1">
        <f t="shared" ref="DC33" si="351">IF(DC32&gt;$D$17,$C$17,HLOOKUP(DC32,$16:$17,2,0))</f>
        <v>1</v>
      </c>
      <c r="DD33" s="1">
        <f t="shared" ref="DD33" si="352">IF(DD32&gt;$D$17,$C$17,HLOOKUP(DD32,$16:$17,2,0))</f>
        <v>1</v>
      </c>
      <c r="DE33" s="1">
        <f t="shared" ref="DE33" si="353">IF(DE32&gt;$D$17,$C$17,HLOOKUP(DE32,$16:$17,2,0))</f>
        <v>1</v>
      </c>
      <c r="DF33" s="1">
        <f t="shared" ref="DF33" si="354">IF(DF32&gt;$D$17,$C$17,HLOOKUP(DF32,$16:$17,2,0))</f>
        <v>1</v>
      </c>
      <c r="DG33" s="1">
        <f t="shared" ref="DG33" si="355">IF(DG32&gt;$D$17,$C$17,HLOOKUP(DG32,$16:$17,2,0))</f>
        <v>1</v>
      </c>
      <c r="DH33" s="1">
        <f t="shared" ref="DH33" si="356">IF(DH32&gt;$D$17,$C$17,HLOOKUP(DH32,$16:$17,2,0))</f>
        <v>1</v>
      </c>
      <c r="DI33" s="1">
        <f t="shared" ref="DI33" si="357">IF(DI32&gt;$D$17,$C$17,HLOOKUP(DI32,$16:$17,2,0))</f>
        <v>1</v>
      </c>
      <c r="DJ33" s="1">
        <f t="shared" ref="DJ33" si="358">IF(DJ32&gt;$D$17,$C$17,HLOOKUP(DJ32,$16:$17,2,0))</f>
        <v>1</v>
      </c>
      <c r="DK33" s="1">
        <f t="shared" ref="DK33" si="359">IF(DK32&gt;$D$17,$C$17,HLOOKUP(DK32,$16:$17,2,0))</f>
        <v>1</v>
      </c>
      <c r="DL33" s="1">
        <f t="shared" ref="DL33" si="360">IF(DL32&gt;$D$17,$C$17,HLOOKUP(DL32,$16:$17,2,0))</f>
        <v>1</v>
      </c>
      <c r="DM33" s="1">
        <f t="shared" ref="DM33" si="361">IF(DM32&gt;$D$17,$C$17,HLOOKUP(DM32,$16:$17,2,0))</f>
        <v>1</v>
      </c>
      <c r="DN33" s="1">
        <f t="shared" ref="DN33" si="362">IF(DN32&gt;$D$17,$C$17,HLOOKUP(DN32,$16:$17,2,0))</f>
        <v>1</v>
      </c>
      <c r="DO33" s="1">
        <f t="shared" ref="DO33" si="363">IF(DO32&gt;$D$17,$C$17,HLOOKUP(DO32,$16:$17,2,0))</f>
        <v>1</v>
      </c>
      <c r="DP33" s="1">
        <f t="shared" ref="DP33" si="364">IF(DP32&gt;$D$17,$C$17,HLOOKUP(DP32,$16:$17,2,0))</f>
        <v>1</v>
      </c>
      <c r="DQ33" s="1">
        <f t="shared" ref="DQ33" si="365">IF(DQ32&gt;$D$17,$C$17,HLOOKUP(DQ32,$16:$17,2,0))</f>
        <v>1</v>
      </c>
      <c r="DR33" s="1">
        <f t="shared" ref="DR33" si="366">IF(DR32&gt;$D$17,$C$17,HLOOKUP(DR32,$16:$17,2,0))</f>
        <v>1</v>
      </c>
      <c r="DS33" s="1">
        <f t="shared" ref="DS33" si="367">IF(DS32&gt;$D$17,$C$17,HLOOKUP(DS32,$16:$17,2,0))</f>
        <v>1</v>
      </c>
      <c r="DT33" s="1">
        <f t="shared" ref="DT33" si="368">IF(DT32&gt;$D$17,$C$17,HLOOKUP(DT32,$16:$17,2,0))</f>
        <v>1</v>
      </c>
      <c r="DU33" s="1">
        <f t="shared" ref="DU33" si="369">IF(DU32&gt;$D$17,$C$17,HLOOKUP(DU32,$16:$17,2,0))</f>
        <v>1</v>
      </c>
      <c r="DV33" s="1">
        <f t="shared" ref="DV33" si="370">IF(DV32&gt;$D$17,$C$17,HLOOKUP(DV32,$16:$17,2,0))</f>
        <v>1</v>
      </c>
      <c r="DW33" s="1">
        <f t="shared" ref="DW33" si="371">IF(DW32&gt;$D$17,$C$17,HLOOKUP(DW32,$16:$17,2,0))</f>
        <v>1</v>
      </c>
      <c r="DX33" s="12">
        <f t="shared" ref="DX33" si="372">IF(DX32&gt;$D$17,$C$17,HLOOKUP(DX32,$16:$17,2,0))</f>
        <v>1</v>
      </c>
    </row>
    <row r="34" spans="2:128" ht="17" thickBot="1" x14ac:dyDescent="0.25">
      <c r="B34" s="13" t="s">
        <v>17</v>
      </c>
      <c r="C34" s="15"/>
      <c r="D34" s="15">
        <f>IF(D32&gt;$D$18,$C$18,HLOOKUP(D32,$16:$18,3,0))</f>
        <v>0</v>
      </c>
      <c r="E34" s="15">
        <f t="shared" ref="E34:BP34" si="373">IF(E32&gt;$D$18,$C$18,HLOOKUP(E32,$16:$18,3,0))</f>
        <v>0</v>
      </c>
      <c r="F34" s="15">
        <f t="shared" si="373"/>
        <v>0</v>
      </c>
      <c r="G34" s="15">
        <f t="shared" si="373"/>
        <v>0</v>
      </c>
      <c r="H34" s="15">
        <f t="shared" si="373"/>
        <v>0</v>
      </c>
      <c r="I34" s="15">
        <f t="shared" si="373"/>
        <v>0</v>
      </c>
      <c r="J34" s="15">
        <f t="shared" si="373"/>
        <v>0</v>
      </c>
      <c r="K34" s="15">
        <f t="shared" si="373"/>
        <v>0.7</v>
      </c>
      <c r="L34" s="15">
        <f t="shared" si="373"/>
        <v>0.7097</v>
      </c>
      <c r="M34" s="15">
        <f t="shared" si="373"/>
        <v>0.71930000000000005</v>
      </c>
      <c r="N34" s="15">
        <f t="shared" si="373"/>
        <v>0.72899999999999998</v>
      </c>
      <c r="O34" s="15">
        <f t="shared" si="373"/>
        <v>0.73860000000000003</v>
      </c>
      <c r="P34" s="15">
        <f t="shared" si="373"/>
        <v>0.74829999999999997</v>
      </c>
      <c r="Q34" s="15">
        <f t="shared" si="373"/>
        <v>0.74829999999999997</v>
      </c>
      <c r="R34" s="15">
        <f t="shared" si="373"/>
        <v>0.75790000000000002</v>
      </c>
      <c r="S34" s="15">
        <f t="shared" si="373"/>
        <v>0.76759999999999995</v>
      </c>
      <c r="T34" s="15">
        <f t="shared" si="373"/>
        <v>0.7772</v>
      </c>
      <c r="U34" s="15">
        <f t="shared" si="373"/>
        <v>0.78690000000000004</v>
      </c>
      <c r="V34" s="15">
        <f t="shared" si="373"/>
        <v>0.79659999999999997</v>
      </c>
      <c r="W34" s="15">
        <f t="shared" si="373"/>
        <v>0.80620000000000003</v>
      </c>
      <c r="X34" s="15">
        <f t="shared" si="373"/>
        <v>0.80620000000000003</v>
      </c>
      <c r="Y34" s="15">
        <f t="shared" si="373"/>
        <v>0.81589999999999996</v>
      </c>
      <c r="Z34" s="15">
        <f t="shared" si="373"/>
        <v>0.82550000000000001</v>
      </c>
      <c r="AA34" s="15">
        <f t="shared" si="373"/>
        <v>0.83520000000000005</v>
      </c>
      <c r="AB34" s="15">
        <f t="shared" si="373"/>
        <v>0.8448</v>
      </c>
      <c r="AC34" s="15">
        <f t="shared" si="373"/>
        <v>0.8448</v>
      </c>
      <c r="AD34" s="15">
        <f t="shared" si="373"/>
        <v>0.8448</v>
      </c>
      <c r="AE34" s="15">
        <f t="shared" si="373"/>
        <v>0.8448</v>
      </c>
      <c r="AF34" s="15">
        <f t="shared" si="373"/>
        <v>0.85450000000000004</v>
      </c>
      <c r="AG34" s="15">
        <f t="shared" si="373"/>
        <v>0.86409999999999998</v>
      </c>
      <c r="AH34" s="15">
        <f t="shared" si="373"/>
        <v>0.87380000000000002</v>
      </c>
      <c r="AI34" s="15">
        <f t="shared" si="373"/>
        <v>0.87380000000000002</v>
      </c>
      <c r="AJ34" s="15">
        <f t="shared" si="373"/>
        <v>0.87380000000000002</v>
      </c>
      <c r="AK34" s="15">
        <f t="shared" si="373"/>
        <v>0.87380000000000002</v>
      </c>
      <c r="AL34" s="15">
        <f t="shared" si="373"/>
        <v>0.87380000000000002</v>
      </c>
      <c r="AM34" s="15">
        <f t="shared" si="373"/>
        <v>0.87380000000000002</v>
      </c>
      <c r="AN34" s="15">
        <f t="shared" si="373"/>
        <v>0.87380000000000002</v>
      </c>
      <c r="AO34" s="15">
        <f t="shared" si="373"/>
        <v>0.87380000000000002</v>
      </c>
      <c r="AP34" s="15">
        <f t="shared" si="373"/>
        <v>0.88339999999999996</v>
      </c>
      <c r="AQ34" s="15">
        <f t="shared" si="373"/>
        <v>0.8931</v>
      </c>
      <c r="AR34" s="15">
        <f t="shared" si="373"/>
        <v>0.90280000000000005</v>
      </c>
      <c r="AS34" s="15">
        <f t="shared" si="373"/>
        <v>0.90280000000000005</v>
      </c>
      <c r="AT34" s="15">
        <f t="shared" si="373"/>
        <v>0.91239999999999999</v>
      </c>
      <c r="AU34" s="15">
        <f t="shared" si="373"/>
        <v>0.92210000000000003</v>
      </c>
      <c r="AV34" s="15">
        <f t="shared" si="373"/>
        <v>0.93169999999999997</v>
      </c>
      <c r="AW34" s="15">
        <f t="shared" si="373"/>
        <v>0.94140000000000001</v>
      </c>
      <c r="AX34" s="15">
        <f t="shared" si="373"/>
        <v>0.95099999999999996</v>
      </c>
      <c r="AY34" s="15">
        <f t="shared" si="373"/>
        <v>0.9607</v>
      </c>
      <c r="AZ34" s="15">
        <f t="shared" si="373"/>
        <v>0.9607</v>
      </c>
      <c r="BA34" s="15">
        <f t="shared" si="373"/>
        <v>0.97030000000000005</v>
      </c>
      <c r="BB34" s="15">
        <f t="shared" si="373"/>
        <v>0.98</v>
      </c>
      <c r="BC34" s="15">
        <f t="shared" si="373"/>
        <v>0.98</v>
      </c>
      <c r="BD34" s="15">
        <f t="shared" si="373"/>
        <v>0.98</v>
      </c>
      <c r="BE34" s="15">
        <f t="shared" si="373"/>
        <v>0.98</v>
      </c>
      <c r="BF34" s="15">
        <f t="shared" si="373"/>
        <v>0.98</v>
      </c>
      <c r="BG34" s="15">
        <f t="shared" si="373"/>
        <v>0.98</v>
      </c>
      <c r="BH34" s="15">
        <f t="shared" si="373"/>
        <v>0.98</v>
      </c>
      <c r="BI34" s="15">
        <f t="shared" si="373"/>
        <v>0.98</v>
      </c>
      <c r="BJ34" s="15">
        <f t="shared" si="373"/>
        <v>0.98</v>
      </c>
      <c r="BK34" s="15">
        <f t="shared" si="373"/>
        <v>0.98</v>
      </c>
      <c r="BL34" s="15">
        <f t="shared" si="373"/>
        <v>0.98</v>
      </c>
      <c r="BM34" s="15">
        <f t="shared" si="373"/>
        <v>0.98</v>
      </c>
      <c r="BN34" s="15">
        <f t="shared" si="373"/>
        <v>0.98</v>
      </c>
      <c r="BO34" s="15">
        <f t="shared" si="373"/>
        <v>0.98</v>
      </c>
      <c r="BP34" s="15">
        <f t="shared" si="373"/>
        <v>0.98</v>
      </c>
      <c r="BQ34" s="15">
        <f t="shared" ref="BQ34:DX34" si="374">IF(BQ32&gt;$D$18,$C$18,HLOOKUP(BQ32,$16:$18,3,0))</f>
        <v>0.98</v>
      </c>
      <c r="BR34" s="15">
        <f t="shared" si="374"/>
        <v>0.98</v>
      </c>
      <c r="BS34" s="15">
        <f t="shared" si="374"/>
        <v>0.98</v>
      </c>
      <c r="BT34" s="15">
        <f t="shared" si="374"/>
        <v>0.98</v>
      </c>
      <c r="BU34" s="15">
        <f t="shared" si="374"/>
        <v>0.98</v>
      </c>
      <c r="BV34" s="15">
        <f t="shared" si="374"/>
        <v>0.98</v>
      </c>
      <c r="BW34" s="15">
        <f t="shared" si="374"/>
        <v>0.98</v>
      </c>
      <c r="BX34" s="15">
        <f t="shared" si="374"/>
        <v>0.98</v>
      </c>
      <c r="BY34" s="15">
        <f t="shared" si="374"/>
        <v>0.98</v>
      </c>
      <c r="BZ34" s="15">
        <f t="shared" si="374"/>
        <v>0.98</v>
      </c>
      <c r="CA34" s="15">
        <f t="shared" si="374"/>
        <v>0.98</v>
      </c>
      <c r="CB34" s="15">
        <f t="shared" si="374"/>
        <v>0.98</v>
      </c>
      <c r="CC34" s="15">
        <f t="shared" si="374"/>
        <v>0.98</v>
      </c>
      <c r="CD34" s="15">
        <f t="shared" si="374"/>
        <v>0.98</v>
      </c>
      <c r="CE34" s="15">
        <f t="shared" si="374"/>
        <v>0.98</v>
      </c>
      <c r="CF34" s="15">
        <f t="shared" si="374"/>
        <v>0.98</v>
      </c>
      <c r="CG34" s="15">
        <f t="shared" si="374"/>
        <v>0.98</v>
      </c>
      <c r="CH34" s="15">
        <f t="shared" si="374"/>
        <v>0.98</v>
      </c>
      <c r="CI34" s="15">
        <f t="shared" si="374"/>
        <v>0.98</v>
      </c>
      <c r="CJ34" s="15">
        <f t="shared" si="374"/>
        <v>0.98</v>
      </c>
      <c r="CK34" s="15">
        <f t="shared" si="374"/>
        <v>0.98</v>
      </c>
      <c r="CL34" s="15">
        <f t="shared" si="374"/>
        <v>0.98</v>
      </c>
      <c r="CM34" s="15">
        <f t="shared" si="374"/>
        <v>0.98</v>
      </c>
      <c r="CN34" s="15">
        <f t="shared" si="374"/>
        <v>0.98</v>
      </c>
      <c r="CO34" s="15">
        <f t="shared" si="374"/>
        <v>0.98</v>
      </c>
      <c r="CP34" s="15">
        <f t="shared" si="374"/>
        <v>0.98</v>
      </c>
      <c r="CQ34" s="15">
        <f t="shared" si="374"/>
        <v>0.98</v>
      </c>
      <c r="CR34" s="15">
        <f t="shared" si="374"/>
        <v>0.98</v>
      </c>
      <c r="CS34" s="15">
        <f t="shared" si="374"/>
        <v>0.98</v>
      </c>
      <c r="CT34" s="15">
        <f t="shared" si="374"/>
        <v>0.98</v>
      </c>
      <c r="CU34" s="15">
        <f t="shared" si="374"/>
        <v>0.98</v>
      </c>
      <c r="CV34" s="15">
        <f t="shared" si="374"/>
        <v>0.98</v>
      </c>
      <c r="CW34" s="15">
        <f t="shared" si="374"/>
        <v>0.98</v>
      </c>
      <c r="CX34" s="15">
        <f t="shared" si="374"/>
        <v>0.98</v>
      </c>
      <c r="CY34" s="15">
        <f t="shared" si="374"/>
        <v>0.98</v>
      </c>
      <c r="CZ34" s="15">
        <f t="shared" si="374"/>
        <v>0.98</v>
      </c>
      <c r="DA34" s="15">
        <f t="shared" si="374"/>
        <v>0.98</v>
      </c>
      <c r="DB34" s="15">
        <f t="shared" si="374"/>
        <v>0.98</v>
      </c>
      <c r="DC34" s="15">
        <f t="shared" si="374"/>
        <v>0.98</v>
      </c>
      <c r="DD34" s="15">
        <f t="shared" si="374"/>
        <v>0.98</v>
      </c>
      <c r="DE34" s="15">
        <f t="shared" si="374"/>
        <v>0.98</v>
      </c>
      <c r="DF34" s="15">
        <f t="shared" si="374"/>
        <v>0.98</v>
      </c>
      <c r="DG34" s="15">
        <f t="shared" si="374"/>
        <v>0.98</v>
      </c>
      <c r="DH34" s="15">
        <f t="shared" si="374"/>
        <v>0.98</v>
      </c>
      <c r="DI34" s="15">
        <f t="shared" si="374"/>
        <v>0.98</v>
      </c>
      <c r="DJ34" s="15">
        <f t="shared" si="374"/>
        <v>0.98</v>
      </c>
      <c r="DK34" s="15">
        <f t="shared" si="374"/>
        <v>0.98</v>
      </c>
      <c r="DL34" s="15">
        <f t="shared" si="374"/>
        <v>0.98</v>
      </c>
      <c r="DM34" s="15">
        <f t="shared" si="374"/>
        <v>0.98</v>
      </c>
      <c r="DN34" s="15">
        <f t="shared" si="374"/>
        <v>0.98</v>
      </c>
      <c r="DO34" s="15">
        <f t="shared" si="374"/>
        <v>0.98</v>
      </c>
      <c r="DP34" s="15">
        <f t="shared" si="374"/>
        <v>0.98</v>
      </c>
      <c r="DQ34" s="15">
        <f t="shared" si="374"/>
        <v>0.98</v>
      </c>
      <c r="DR34" s="15">
        <f t="shared" si="374"/>
        <v>0.98</v>
      </c>
      <c r="DS34" s="15">
        <f t="shared" si="374"/>
        <v>0.98</v>
      </c>
      <c r="DT34" s="15">
        <f t="shared" si="374"/>
        <v>0.98</v>
      </c>
      <c r="DU34" s="15">
        <f t="shared" si="374"/>
        <v>0.98</v>
      </c>
      <c r="DV34" s="15">
        <f t="shared" si="374"/>
        <v>0.98</v>
      </c>
      <c r="DW34" s="15">
        <f t="shared" si="374"/>
        <v>0.98</v>
      </c>
      <c r="DX34" s="16">
        <f t="shared" si="374"/>
        <v>0.98</v>
      </c>
    </row>
    <row r="35" spans="2:128" s="5" customFormat="1" x14ac:dyDescent="0.2">
      <c r="B35" s="8" t="s">
        <v>19</v>
      </c>
      <c r="C35" s="9"/>
      <c r="D35" s="9">
        <f>IF(D$22="Sun",C35,IF(D$21=$F$14,1,IF(D$21&lt;$F$14,0,C35+1)))</f>
        <v>0</v>
      </c>
      <c r="E35" s="9">
        <f t="shared" ref="E35:BP35" si="375">IF(E$22="Sun",D35,IF(E$21=$F$14,1,IF(E$21&lt;$F$14,0,D35+1)))</f>
        <v>0</v>
      </c>
      <c r="F35" s="9">
        <f t="shared" si="375"/>
        <v>0</v>
      </c>
      <c r="G35" s="9">
        <f t="shared" si="375"/>
        <v>0</v>
      </c>
      <c r="H35" s="9">
        <f t="shared" si="375"/>
        <v>0</v>
      </c>
      <c r="I35" s="9">
        <f t="shared" si="375"/>
        <v>0</v>
      </c>
      <c r="J35" s="9">
        <f t="shared" si="375"/>
        <v>0</v>
      </c>
      <c r="K35" s="9">
        <f t="shared" si="375"/>
        <v>0</v>
      </c>
      <c r="L35" s="9">
        <f t="shared" si="375"/>
        <v>0</v>
      </c>
      <c r="M35" s="9">
        <f t="shared" si="375"/>
        <v>0</v>
      </c>
      <c r="N35" s="9">
        <f t="shared" si="375"/>
        <v>0</v>
      </c>
      <c r="O35" s="9">
        <f t="shared" si="375"/>
        <v>0</v>
      </c>
      <c r="P35" s="9">
        <f t="shared" si="375"/>
        <v>0</v>
      </c>
      <c r="Q35" s="9">
        <f t="shared" si="375"/>
        <v>0</v>
      </c>
      <c r="R35" s="9">
        <f t="shared" si="375"/>
        <v>1</v>
      </c>
      <c r="S35" s="9">
        <f t="shared" si="375"/>
        <v>2</v>
      </c>
      <c r="T35" s="9">
        <f t="shared" si="375"/>
        <v>3</v>
      </c>
      <c r="U35" s="9">
        <f t="shared" si="375"/>
        <v>4</v>
      </c>
      <c r="V35" s="9">
        <f t="shared" si="375"/>
        <v>5</v>
      </c>
      <c r="W35" s="9">
        <f t="shared" si="375"/>
        <v>6</v>
      </c>
      <c r="X35" s="9">
        <f t="shared" si="375"/>
        <v>6</v>
      </c>
      <c r="Y35" s="9">
        <f t="shared" si="375"/>
        <v>7</v>
      </c>
      <c r="Z35" s="9">
        <f t="shared" si="375"/>
        <v>8</v>
      </c>
      <c r="AA35" s="9">
        <f t="shared" si="375"/>
        <v>9</v>
      </c>
      <c r="AB35" s="9">
        <f t="shared" si="375"/>
        <v>10</v>
      </c>
      <c r="AC35" s="26">
        <f>AB35</f>
        <v>10</v>
      </c>
      <c r="AD35" s="26">
        <f>AC35</f>
        <v>10</v>
      </c>
      <c r="AE35" s="26">
        <f>AD35</f>
        <v>10</v>
      </c>
      <c r="AF35" s="9">
        <f t="shared" si="375"/>
        <v>11</v>
      </c>
      <c r="AG35" s="9">
        <f t="shared" si="375"/>
        <v>12</v>
      </c>
      <c r="AH35" s="9">
        <f t="shared" si="375"/>
        <v>13</v>
      </c>
      <c r="AI35" s="26">
        <f>AH35</f>
        <v>13</v>
      </c>
      <c r="AJ35" s="26">
        <f t="shared" ref="AJ35:AO35" si="376">AI35</f>
        <v>13</v>
      </c>
      <c r="AK35" s="26">
        <f t="shared" si="376"/>
        <v>13</v>
      </c>
      <c r="AL35" s="26">
        <f t="shared" si="376"/>
        <v>13</v>
      </c>
      <c r="AM35" s="26">
        <f t="shared" si="376"/>
        <v>13</v>
      </c>
      <c r="AN35" s="26">
        <f t="shared" si="376"/>
        <v>13</v>
      </c>
      <c r="AO35" s="26">
        <f t="shared" si="376"/>
        <v>13</v>
      </c>
      <c r="AP35" s="9">
        <f t="shared" si="375"/>
        <v>14</v>
      </c>
      <c r="AQ35" s="9">
        <f t="shared" si="375"/>
        <v>15</v>
      </c>
      <c r="AR35" s="9">
        <f t="shared" si="375"/>
        <v>16</v>
      </c>
      <c r="AS35" s="9">
        <f t="shared" si="375"/>
        <v>16</v>
      </c>
      <c r="AT35" s="9">
        <f t="shared" si="375"/>
        <v>17</v>
      </c>
      <c r="AU35" s="9">
        <f t="shared" si="375"/>
        <v>18</v>
      </c>
      <c r="AV35" s="9">
        <f t="shared" si="375"/>
        <v>19</v>
      </c>
      <c r="AW35" s="9">
        <f t="shared" si="375"/>
        <v>20</v>
      </c>
      <c r="AX35" s="9">
        <f t="shared" si="375"/>
        <v>21</v>
      </c>
      <c r="AY35" s="9">
        <f t="shared" si="375"/>
        <v>22</v>
      </c>
      <c r="AZ35" s="9">
        <f t="shared" si="375"/>
        <v>22</v>
      </c>
      <c r="BA35" s="9">
        <f t="shared" si="375"/>
        <v>23</v>
      </c>
      <c r="BB35" s="9">
        <f t="shared" si="375"/>
        <v>24</v>
      </c>
      <c r="BC35" s="9">
        <f t="shared" si="375"/>
        <v>25</v>
      </c>
      <c r="BD35" s="9">
        <f t="shared" si="375"/>
        <v>26</v>
      </c>
      <c r="BE35" s="9">
        <f t="shared" si="375"/>
        <v>27</v>
      </c>
      <c r="BF35" s="9">
        <f t="shared" si="375"/>
        <v>28</v>
      </c>
      <c r="BG35" s="9">
        <f t="shared" si="375"/>
        <v>28</v>
      </c>
      <c r="BH35" s="9">
        <f t="shared" si="375"/>
        <v>29</v>
      </c>
      <c r="BI35" s="9">
        <f t="shared" si="375"/>
        <v>30</v>
      </c>
      <c r="BJ35" s="9">
        <f t="shared" si="375"/>
        <v>31</v>
      </c>
      <c r="BK35" s="9">
        <f t="shared" si="375"/>
        <v>32</v>
      </c>
      <c r="BL35" s="9">
        <f t="shared" si="375"/>
        <v>33</v>
      </c>
      <c r="BM35" s="9">
        <f t="shared" si="375"/>
        <v>34</v>
      </c>
      <c r="BN35" s="9">
        <f t="shared" si="375"/>
        <v>34</v>
      </c>
      <c r="BO35" s="9">
        <f t="shared" si="375"/>
        <v>35</v>
      </c>
      <c r="BP35" s="9">
        <f t="shared" si="375"/>
        <v>36</v>
      </c>
      <c r="BQ35" s="9">
        <f t="shared" ref="BQ35:DX35" si="377">IF(BQ$22="Sun",BP35,IF(BQ$21=$F$14,1,IF(BQ$21&lt;$F$14,0,BP35+1)))</f>
        <v>37</v>
      </c>
      <c r="BR35" s="9">
        <f t="shared" si="377"/>
        <v>38</v>
      </c>
      <c r="BS35" s="9">
        <f t="shared" si="377"/>
        <v>39</v>
      </c>
      <c r="BT35" s="9">
        <f t="shared" si="377"/>
        <v>40</v>
      </c>
      <c r="BU35" s="9">
        <f t="shared" si="377"/>
        <v>40</v>
      </c>
      <c r="BV35" s="9">
        <f t="shared" si="377"/>
        <v>41</v>
      </c>
      <c r="BW35" s="9">
        <f t="shared" si="377"/>
        <v>42</v>
      </c>
      <c r="BX35" s="9">
        <f t="shared" si="377"/>
        <v>43</v>
      </c>
      <c r="BY35" s="9">
        <f t="shared" si="377"/>
        <v>44</v>
      </c>
      <c r="BZ35" s="9">
        <f t="shared" si="377"/>
        <v>45</v>
      </c>
      <c r="CA35" s="9">
        <f t="shared" si="377"/>
        <v>46</v>
      </c>
      <c r="CB35" s="9">
        <f t="shared" si="377"/>
        <v>46</v>
      </c>
      <c r="CC35" s="9">
        <f t="shared" si="377"/>
        <v>47</v>
      </c>
      <c r="CD35" s="9">
        <f t="shared" si="377"/>
        <v>48</v>
      </c>
      <c r="CE35" s="9">
        <f t="shared" si="377"/>
        <v>49</v>
      </c>
      <c r="CF35" s="9">
        <f t="shared" si="377"/>
        <v>50</v>
      </c>
      <c r="CG35" s="9">
        <f t="shared" si="377"/>
        <v>51</v>
      </c>
      <c r="CH35" s="9">
        <f t="shared" si="377"/>
        <v>52</v>
      </c>
      <c r="CI35" s="9">
        <f t="shared" si="377"/>
        <v>52</v>
      </c>
      <c r="CJ35" s="9">
        <f t="shared" si="377"/>
        <v>53</v>
      </c>
      <c r="CK35" s="9">
        <f t="shared" si="377"/>
        <v>54</v>
      </c>
      <c r="CL35" s="9">
        <f t="shared" si="377"/>
        <v>55</v>
      </c>
      <c r="CM35" s="9">
        <f t="shared" si="377"/>
        <v>56</v>
      </c>
      <c r="CN35" s="9">
        <f t="shared" si="377"/>
        <v>57</v>
      </c>
      <c r="CO35" s="9">
        <f t="shared" si="377"/>
        <v>58</v>
      </c>
      <c r="CP35" s="9">
        <f t="shared" si="377"/>
        <v>58</v>
      </c>
      <c r="CQ35" s="9">
        <f t="shared" si="377"/>
        <v>59</v>
      </c>
      <c r="CR35" s="9">
        <f t="shared" si="377"/>
        <v>60</v>
      </c>
      <c r="CS35" s="9">
        <f t="shared" si="377"/>
        <v>61</v>
      </c>
      <c r="CT35" s="9">
        <f t="shared" si="377"/>
        <v>62</v>
      </c>
      <c r="CU35" s="9">
        <f t="shared" si="377"/>
        <v>63</v>
      </c>
      <c r="CV35" s="9">
        <f t="shared" si="377"/>
        <v>64</v>
      </c>
      <c r="CW35" s="9">
        <f t="shared" si="377"/>
        <v>64</v>
      </c>
      <c r="CX35" s="9">
        <f t="shared" si="377"/>
        <v>65</v>
      </c>
      <c r="CY35" s="9">
        <f t="shared" si="377"/>
        <v>66</v>
      </c>
      <c r="CZ35" s="9">
        <f t="shared" si="377"/>
        <v>67</v>
      </c>
      <c r="DA35" s="9">
        <f t="shared" si="377"/>
        <v>68</v>
      </c>
      <c r="DB35" s="9">
        <f t="shared" si="377"/>
        <v>69</v>
      </c>
      <c r="DC35" s="9">
        <f t="shared" si="377"/>
        <v>70</v>
      </c>
      <c r="DD35" s="9">
        <f t="shared" si="377"/>
        <v>70</v>
      </c>
      <c r="DE35" s="9">
        <f t="shared" si="377"/>
        <v>71</v>
      </c>
      <c r="DF35" s="9">
        <f t="shared" si="377"/>
        <v>72</v>
      </c>
      <c r="DG35" s="9">
        <f t="shared" si="377"/>
        <v>73</v>
      </c>
      <c r="DH35" s="9">
        <f t="shared" si="377"/>
        <v>74</v>
      </c>
      <c r="DI35" s="9">
        <f t="shared" si="377"/>
        <v>75</v>
      </c>
      <c r="DJ35" s="9">
        <f t="shared" si="377"/>
        <v>76</v>
      </c>
      <c r="DK35" s="9">
        <f t="shared" si="377"/>
        <v>76</v>
      </c>
      <c r="DL35" s="9">
        <f t="shared" si="377"/>
        <v>77</v>
      </c>
      <c r="DM35" s="9">
        <f t="shared" si="377"/>
        <v>78</v>
      </c>
      <c r="DN35" s="9">
        <f t="shared" si="377"/>
        <v>79</v>
      </c>
      <c r="DO35" s="9">
        <f t="shared" si="377"/>
        <v>80</v>
      </c>
      <c r="DP35" s="9">
        <f t="shared" si="377"/>
        <v>81</v>
      </c>
      <c r="DQ35" s="9">
        <f t="shared" si="377"/>
        <v>82</v>
      </c>
      <c r="DR35" s="9">
        <f t="shared" si="377"/>
        <v>82</v>
      </c>
      <c r="DS35" s="9">
        <f t="shared" si="377"/>
        <v>83</v>
      </c>
      <c r="DT35" s="9">
        <f t="shared" si="377"/>
        <v>84</v>
      </c>
      <c r="DU35" s="9">
        <f t="shared" si="377"/>
        <v>85</v>
      </c>
      <c r="DV35" s="9">
        <f t="shared" si="377"/>
        <v>86</v>
      </c>
      <c r="DW35" s="9">
        <f t="shared" si="377"/>
        <v>87</v>
      </c>
      <c r="DX35" s="10">
        <f t="shared" si="377"/>
        <v>88</v>
      </c>
    </row>
    <row r="36" spans="2:128" x14ac:dyDescent="0.2">
      <c r="B36" s="11" t="s">
        <v>16</v>
      </c>
      <c r="D36" s="1">
        <f>IF(D35&gt;$D$17,$C$17,HLOOKUP(D35,$16:$17,2,0))</f>
        <v>0</v>
      </c>
      <c r="E36" s="1">
        <f t="shared" ref="E36" si="378">IF(E35&gt;$D$17,$C$17,HLOOKUP(E35,$16:$17,2,0))</f>
        <v>0</v>
      </c>
      <c r="F36" s="1">
        <f t="shared" ref="F36" si="379">IF(F35&gt;$D$17,$C$17,HLOOKUP(F35,$16:$17,2,0))</f>
        <v>0</v>
      </c>
      <c r="G36" s="1">
        <f t="shared" ref="G36" si="380">IF(G35&gt;$D$17,$C$17,HLOOKUP(G35,$16:$17,2,0))</f>
        <v>0</v>
      </c>
      <c r="H36" s="1">
        <f t="shared" ref="H36" si="381">IF(H35&gt;$D$17,$C$17,HLOOKUP(H35,$16:$17,2,0))</f>
        <v>0</v>
      </c>
      <c r="I36" s="1">
        <f t="shared" ref="I36" si="382">IF(I35&gt;$D$17,$C$17,HLOOKUP(I35,$16:$17,2,0))</f>
        <v>0</v>
      </c>
      <c r="J36" s="1">
        <f t="shared" ref="J36" si="383">IF(J35&gt;$D$17,$C$17,HLOOKUP(J35,$16:$17,2,0))</f>
        <v>0</v>
      </c>
      <c r="K36" s="1">
        <f t="shared" ref="K36" si="384">IF(K35&gt;$D$17,$C$17,HLOOKUP(K35,$16:$17,2,0))</f>
        <v>0</v>
      </c>
      <c r="L36" s="1">
        <f t="shared" ref="L36" si="385">IF(L35&gt;$D$17,$C$17,HLOOKUP(L35,$16:$17,2,0))</f>
        <v>0</v>
      </c>
      <c r="M36" s="1">
        <f t="shared" ref="M36" si="386">IF(M35&gt;$D$17,$C$17,HLOOKUP(M35,$16:$17,2,0))</f>
        <v>0</v>
      </c>
      <c r="N36" s="1">
        <f t="shared" ref="N36" si="387">IF(N35&gt;$D$17,$C$17,HLOOKUP(N35,$16:$17,2,0))</f>
        <v>0</v>
      </c>
      <c r="O36" s="1">
        <f t="shared" ref="O36" si="388">IF(O35&gt;$D$17,$C$17,HLOOKUP(O35,$16:$17,2,0))</f>
        <v>0</v>
      </c>
      <c r="P36" s="1">
        <f t="shared" ref="P36" si="389">IF(P35&gt;$D$17,$C$17,HLOOKUP(P35,$16:$17,2,0))</f>
        <v>0</v>
      </c>
      <c r="Q36" s="1">
        <f t="shared" ref="Q36" si="390">IF(Q35&gt;$D$17,$C$17,HLOOKUP(Q35,$16:$17,2,0))</f>
        <v>0</v>
      </c>
      <c r="R36" s="1">
        <f t="shared" ref="R36" si="391">IF(R35&gt;$D$17,$C$17,HLOOKUP(R35,$16:$17,2,0))</f>
        <v>0.5</v>
      </c>
      <c r="S36" s="1">
        <f t="shared" ref="S36" si="392">IF(S35&gt;$D$17,$C$17,HLOOKUP(S35,$16:$17,2,0))</f>
        <v>0.52</v>
      </c>
      <c r="T36" s="1">
        <f t="shared" ref="T36" si="393">IF(T35&gt;$D$17,$C$17,HLOOKUP(T35,$16:$17,2,0))</f>
        <v>0.53</v>
      </c>
      <c r="U36" s="1">
        <f t="shared" ref="U36" si="394">IF(U35&gt;$D$17,$C$17,HLOOKUP(U35,$16:$17,2,0))</f>
        <v>0.55000000000000004</v>
      </c>
      <c r="V36" s="1">
        <f t="shared" ref="V36" si="395">IF(V35&gt;$D$17,$C$17,HLOOKUP(V35,$16:$17,2,0))</f>
        <v>0.56999999999999995</v>
      </c>
      <c r="W36" s="1">
        <f t="shared" ref="W36" si="396">IF(W35&gt;$D$17,$C$17,HLOOKUP(W35,$16:$17,2,0))</f>
        <v>0.59</v>
      </c>
      <c r="X36" s="1">
        <f t="shared" ref="X36" si="397">IF(X35&gt;$D$17,$C$17,HLOOKUP(X35,$16:$17,2,0))</f>
        <v>0.59</v>
      </c>
      <c r="Y36" s="1">
        <f t="shared" ref="Y36" si="398">IF(Y35&gt;$D$17,$C$17,HLOOKUP(Y35,$16:$17,2,0))</f>
        <v>0.6</v>
      </c>
      <c r="Z36" s="1">
        <f t="shared" ref="Z36" si="399">IF(Z35&gt;$D$17,$C$17,HLOOKUP(Z35,$16:$17,2,0))</f>
        <v>0.62</v>
      </c>
      <c r="AA36" s="1">
        <f t="shared" ref="AA36" si="400">IF(AA35&gt;$D$17,$C$17,HLOOKUP(AA35,$16:$17,2,0))</f>
        <v>0.64</v>
      </c>
      <c r="AB36" s="1">
        <f t="shared" ref="AB36" si="401">IF(AB35&gt;$D$17,$C$17,HLOOKUP(AB35,$16:$17,2,0))</f>
        <v>0.66</v>
      </c>
      <c r="AC36" s="1">
        <f t="shared" ref="AC36" si="402">IF(AC35&gt;$D$17,$C$17,HLOOKUP(AC35,$16:$17,2,0))</f>
        <v>0.66</v>
      </c>
      <c r="AD36" s="1">
        <f t="shared" ref="AD36" si="403">IF(AD35&gt;$D$17,$C$17,HLOOKUP(AD35,$16:$17,2,0))</f>
        <v>0.66</v>
      </c>
      <c r="AE36" s="1">
        <f t="shared" ref="AE36" si="404">IF(AE35&gt;$D$17,$C$17,HLOOKUP(AE35,$16:$17,2,0))</f>
        <v>0.66</v>
      </c>
      <c r="AF36" s="1">
        <f t="shared" ref="AF36" si="405">IF(AF35&gt;$D$17,$C$17,HLOOKUP(AF35,$16:$17,2,0))</f>
        <v>0.67</v>
      </c>
      <c r="AG36" s="1">
        <f t="shared" ref="AG36" si="406">IF(AG35&gt;$D$17,$C$17,HLOOKUP(AG35,$16:$17,2,0))</f>
        <v>0.69</v>
      </c>
      <c r="AH36" s="1">
        <f t="shared" ref="AH36" si="407">IF(AH35&gt;$D$17,$C$17,HLOOKUP(AH35,$16:$17,2,0))</f>
        <v>0.71</v>
      </c>
      <c r="AI36" s="1">
        <f t="shared" ref="AI36" si="408">IF(AI35&gt;$D$17,$C$17,HLOOKUP(AI35,$16:$17,2,0))</f>
        <v>0.71</v>
      </c>
      <c r="AJ36" s="1">
        <f t="shared" ref="AJ36" si="409">IF(AJ35&gt;$D$17,$C$17,HLOOKUP(AJ35,$16:$17,2,0))</f>
        <v>0.71</v>
      </c>
      <c r="AK36" s="1">
        <f t="shared" ref="AK36" si="410">IF(AK35&gt;$D$17,$C$17,HLOOKUP(AK35,$16:$17,2,0))</f>
        <v>0.71</v>
      </c>
      <c r="AL36" s="1">
        <f t="shared" ref="AL36" si="411">IF(AL35&gt;$D$17,$C$17,HLOOKUP(AL35,$16:$17,2,0))</f>
        <v>0.71</v>
      </c>
      <c r="AM36" s="1">
        <f t="shared" ref="AM36" si="412">IF(AM35&gt;$D$17,$C$17,HLOOKUP(AM35,$16:$17,2,0))</f>
        <v>0.71</v>
      </c>
      <c r="AN36" s="1">
        <f t="shared" ref="AN36" si="413">IF(AN35&gt;$D$17,$C$17,HLOOKUP(AN35,$16:$17,2,0))</f>
        <v>0.71</v>
      </c>
      <c r="AO36" s="1">
        <f t="shared" ref="AO36" si="414">IF(AO35&gt;$D$17,$C$17,HLOOKUP(AO35,$16:$17,2,0))</f>
        <v>0.71</v>
      </c>
      <c r="AP36" s="1">
        <f t="shared" ref="AP36" si="415">IF(AP35&gt;$D$17,$C$17,HLOOKUP(AP35,$16:$17,2,0))</f>
        <v>0.72</v>
      </c>
      <c r="AQ36" s="1">
        <f t="shared" ref="AQ36" si="416">IF(AQ35&gt;$D$17,$C$17,HLOOKUP(AQ35,$16:$17,2,0))</f>
        <v>0.74</v>
      </c>
      <c r="AR36" s="1">
        <f t="shared" ref="AR36" si="417">IF(AR35&gt;$D$17,$C$17,HLOOKUP(AR35,$16:$17,2,0))</f>
        <v>0.76</v>
      </c>
      <c r="AS36" s="1">
        <f t="shared" ref="AS36" si="418">IF(AS35&gt;$D$17,$C$17,HLOOKUP(AS35,$16:$17,2,0))</f>
        <v>0.76</v>
      </c>
      <c r="AT36" s="1">
        <f t="shared" ref="AT36" si="419">IF(AT35&gt;$D$17,$C$17,HLOOKUP(AT35,$16:$17,2,0))</f>
        <v>0.78</v>
      </c>
      <c r="AU36" s="1">
        <f t="shared" ref="AU36" si="420">IF(AU35&gt;$D$17,$C$17,HLOOKUP(AU35,$16:$17,2,0))</f>
        <v>0.79</v>
      </c>
      <c r="AV36" s="1">
        <f t="shared" ref="AV36" si="421">IF(AV35&gt;$D$17,$C$17,HLOOKUP(AV35,$16:$17,2,0))</f>
        <v>0.81</v>
      </c>
      <c r="AW36" s="1">
        <f t="shared" ref="AW36" si="422">IF(AW35&gt;$D$17,$C$17,HLOOKUP(AW35,$16:$17,2,0))</f>
        <v>0.83</v>
      </c>
      <c r="AX36" s="1">
        <f t="shared" ref="AX36" si="423">IF(AX35&gt;$D$17,$C$17,HLOOKUP(AX35,$16:$17,2,0))</f>
        <v>0.84</v>
      </c>
      <c r="AY36" s="1">
        <f t="shared" ref="AY36" si="424">IF(AY35&gt;$D$17,$C$17,HLOOKUP(AY35,$16:$17,2,0))</f>
        <v>0.86</v>
      </c>
      <c r="AZ36" s="1">
        <f t="shared" ref="AZ36" si="425">IF(AZ35&gt;$D$17,$C$17,HLOOKUP(AZ35,$16:$17,2,0))</f>
        <v>0.86</v>
      </c>
      <c r="BA36" s="1">
        <f t="shared" ref="BA36" si="426">IF(BA35&gt;$D$17,$C$17,HLOOKUP(BA35,$16:$17,2,0))</f>
        <v>0.88</v>
      </c>
      <c r="BB36" s="1">
        <f t="shared" ref="BB36" si="427">IF(BB35&gt;$D$17,$C$17,HLOOKUP(BB35,$16:$17,2,0))</f>
        <v>0.9</v>
      </c>
      <c r="BC36" s="1">
        <f t="shared" ref="BC36" si="428">IF(BC35&gt;$D$17,$C$17,HLOOKUP(BC35,$16:$17,2,0))</f>
        <v>0.91</v>
      </c>
      <c r="BD36" s="1">
        <f t="shared" ref="BD36" si="429">IF(BD35&gt;$D$17,$C$17,HLOOKUP(BD35,$16:$17,2,0))</f>
        <v>0.93</v>
      </c>
      <c r="BE36" s="1">
        <f t="shared" ref="BE36" si="430">IF(BE35&gt;$D$17,$C$17,HLOOKUP(BE35,$16:$17,2,0))</f>
        <v>0.95</v>
      </c>
      <c r="BF36" s="1">
        <f t="shared" ref="BF36" si="431">IF(BF35&gt;$D$17,$C$17,HLOOKUP(BF35,$16:$17,2,0))</f>
        <v>0.97</v>
      </c>
      <c r="BG36" s="1">
        <f t="shared" ref="BG36" si="432">IF(BG35&gt;$D$17,$C$17,HLOOKUP(BG35,$16:$17,2,0))</f>
        <v>0.97</v>
      </c>
      <c r="BH36" s="1">
        <f t="shared" ref="BH36" si="433">IF(BH35&gt;$D$17,$C$17,HLOOKUP(BH35,$16:$17,2,0))</f>
        <v>0.98</v>
      </c>
      <c r="BI36" s="1">
        <f t="shared" ref="BI36" si="434">IF(BI35&gt;$D$17,$C$17,HLOOKUP(BI35,$16:$17,2,0))</f>
        <v>1</v>
      </c>
      <c r="BJ36" s="1">
        <f t="shared" ref="BJ36" si="435">IF(BJ35&gt;$D$17,$C$17,HLOOKUP(BJ35,$16:$17,2,0))</f>
        <v>1</v>
      </c>
      <c r="BK36" s="1">
        <f t="shared" ref="BK36" si="436">IF(BK35&gt;$D$17,$C$17,HLOOKUP(BK35,$16:$17,2,0))</f>
        <v>1</v>
      </c>
      <c r="BL36" s="1">
        <f t="shared" ref="BL36" si="437">IF(BL35&gt;$D$17,$C$17,HLOOKUP(BL35,$16:$17,2,0))</f>
        <v>1</v>
      </c>
      <c r="BM36" s="1">
        <f t="shared" ref="BM36" si="438">IF(BM35&gt;$D$17,$C$17,HLOOKUP(BM35,$16:$17,2,0))</f>
        <v>1</v>
      </c>
      <c r="BN36" s="1">
        <f t="shared" ref="BN36" si="439">IF(BN35&gt;$D$17,$C$17,HLOOKUP(BN35,$16:$17,2,0))</f>
        <v>1</v>
      </c>
      <c r="BO36" s="1">
        <f t="shared" ref="BO36" si="440">IF(BO35&gt;$D$17,$C$17,HLOOKUP(BO35,$16:$17,2,0))</f>
        <v>1</v>
      </c>
      <c r="BP36" s="1">
        <f t="shared" ref="BP36" si="441">IF(BP35&gt;$D$17,$C$17,HLOOKUP(BP35,$16:$17,2,0))</f>
        <v>1</v>
      </c>
      <c r="BQ36" s="1">
        <f t="shared" ref="BQ36" si="442">IF(BQ35&gt;$D$17,$C$17,HLOOKUP(BQ35,$16:$17,2,0))</f>
        <v>1</v>
      </c>
      <c r="BR36" s="1">
        <f t="shared" ref="BR36" si="443">IF(BR35&gt;$D$17,$C$17,HLOOKUP(BR35,$16:$17,2,0))</f>
        <v>1</v>
      </c>
      <c r="BS36" s="1">
        <f t="shared" ref="BS36" si="444">IF(BS35&gt;$D$17,$C$17,HLOOKUP(BS35,$16:$17,2,0))</f>
        <v>1</v>
      </c>
      <c r="BT36" s="1">
        <f t="shared" ref="BT36" si="445">IF(BT35&gt;$D$17,$C$17,HLOOKUP(BT35,$16:$17,2,0))</f>
        <v>1</v>
      </c>
      <c r="BU36" s="1">
        <f t="shared" ref="BU36" si="446">IF(BU35&gt;$D$17,$C$17,HLOOKUP(BU35,$16:$17,2,0))</f>
        <v>1</v>
      </c>
      <c r="BV36" s="1">
        <f t="shared" ref="BV36" si="447">IF(BV35&gt;$D$17,$C$17,HLOOKUP(BV35,$16:$17,2,0))</f>
        <v>1</v>
      </c>
      <c r="BW36" s="1">
        <f t="shared" ref="BW36" si="448">IF(BW35&gt;$D$17,$C$17,HLOOKUP(BW35,$16:$17,2,0))</f>
        <v>1</v>
      </c>
      <c r="BX36" s="1">
        <f t="shared" ref="BX36" si="449">IF(BX35&gt;$D$17,$C$17,HLOOKUP(BX35,$16:$17,2,0))</f>
        <v>1</v>
      </c>
      <c r="BY36" s="1">
        <f t="shared" ref="BY36" si="450">IF(BY35&gt;$D$17,$C$17,HLOOKUP(BY35,$16:$17,2,0))</f>
        <v>1</v>
      </c>
      <c r="BZ36" s="1">
        <f t="shared" ref="BZ36" si="451">IF(BZ35&gt;$D$17,$C$17,HLOOKUP(BZ35,$16:$17,2,0))</f>
        <v>1</v>
      </c>
      <c r="CA36" s="1">
        <f t="shared" ref="CA36" si="452">IF(CA35&gt;$D$17,$C$17,HLOOKUP(CA35,$16:$17,2,0))</f>
        <v>1</v>
      </c>
      <c r="CB36" s="1">
        <f t="shared" ref="CB36" si="453">IF(CB35&gt;$D$17,$C$17,HLOOKUP(CB35,$16:$17,2,0))</f>
        <v>1</v>
      </c>
      <c r="CC36" s="1">
        <f t="shared" ref="CC36" si="454">IF(CC35&gt;$D$17,$C$17,HLOOKUP(CC35,$16:$17,2,0))</f>
        <v>1</v>
      </c>
      <c r="CD36" s="1">
        <f t="shared" ref="CD36" si="455">IF(CD35&gt;$D$17,$C$17,HLOOKUP(CD35,$16:$17,2,0))</f>
        <v>1</v>
      </c>
      <c r="CE36" s="1">
        <f t="shared" ref="CE36" si="456">IF(CE35&gt;$D$17,$C$17,HLOOKUP(CE35,$16:$17,2,0))</f>
        <v>1</v>
      </c>
      <c r="CF36" s="1">
        <f t="shared" ref="CF36" si="457">IF(CF35&gt;$D$17,$C$17,HLOOKUP(CF35,$16:$17,2,0))</f>
        <v>1</v>
      </c>
      <c r="CG36" s="1">
        <f t="shared" ref="CG36" si="458">IF(CG35&gt;$D$17,$C$17,HLOOKUP(CG35,$16:$17,2,0))</f>
        <v>1</v>
      </c>
      <c r="CH36" s="1">
        <f t="shared" ref="CH36" si="459">IF(CH35&gt;$D$17,$C$17,HLOOKUP(CH35,$16:$17,2,0))</f>
        <v>1</v>
      </c>
      <c r="CI36" s="1">
        <f t="shared" ref="CI36" si="460">IF(CI35&gt;$D$17,$C$17,HLOOKUP(CI35,$16:$17,2,0))</f>
        <v>1</v>
      </c>
      <c r="CJ36" s="1">
        <f t="shared" ref="CJ36" si="461">IF(CJ35&gt;$D$17,$C$17,HLOOKUP(CJ35,$16:$17,2,0))</f>
        <v>1</v>
      </c>
      <c r="CK36" s="1">
        <f t="shared" ref="CK36" si="462">IF(CK35&gt;$D$17,$C$17,HLOOKUP(CK35,$16:$17,2,0))</f>
        <v>1</v>
      </c>
      <c r="CL36" s="1">
        <f t="shared" ref="CL36" si="463">IF(CL35&gt;$D$17,$C$17,HLOOKUP(CL35,$16:$17,2,0))</f>
        <v>1</v>
      </c>
      <c r="CM36" s="1">
        <f t="shared" ref="CM36" si="464">IF(CM35&gt;$D$17,$C$17,HLOOKUP(CM35,$16:$17,2,0))</f>
        <v>1</v>
      </c>
      <c r="CN36" s="1">
        <f t="shared" ref="CN36" si="465">IF(CN35&gt;$D$17,$C$17,HLOOKUP(CN35,$16:$17,2,0))</f>
        <v>1</v>
      </c>
      <c r="CO36" s="1">
        <f t="shared" ref="CO36" si="466">IF(CO35&gt;$D$17,$C$17,HLOOKUP(CO35,$16:$17,2,0))</f>
        <v>1</v>
      </c>
      <c r="CP36" s="1">
        <f t="shared" ref="CP36" si="467">IF(CP35&gt;$D$17,$C$17,HLOOKUP(CP35,$16:$17,2,0))</f>
        <v>1</v>
      </c>
      <c r="CQ36" s="1">
        <f t="shared" ref="CQ36" si="468">IF(CQ35&gt;$D$17,$C$17,HLOOKUP(CQ35,$16:$17,2,0))</f>
        <v>1</v>
      </c>
      <c r="CR36" s="1">
        <f t="shared" ref="CR36" si="469">IF(CR35&gt;$D$17,$C$17,HLOOKUP(CR35,$16:$17,2,0))</f>
        <v>1</v>
      </c>
      <c r="CS36" s="1">
        <f t="shared" ref="CS36" si="470">IF(CS35&gt;$D$17,$C$17,HLOOKUP(CS35,$16:$17,2,0))</f>
        <v>1</v>
      </c>
      <c r="CT36" s="1">
        <f t="shared" ref="CT36" si="471">IF(CT35&gt;$D$17,$C$17,HLOOKUP(CT35,$16:$17,2,0))</f>
        <v>1</v>
      </c>
      <c r="CU36" s="1">
        <f t="shared" ref="CU36" si="472">IF(CU35&gt;$D$17,$C$17,HLOOKUP(CU35,$16:$17,2,0))</f>
        <v>1</v>
      </c>
      <c r="CV36" s="1">
        <f t="shared" ref="CV36" si="473">IF(CV35&gt;$D$17,$C$17,HLOOKUP(CV35,$16:$17,2,0))</f>
        <v>1</v>
      </c>
      <c r="CW36" s="1">
        <f t="shared" ref="CW36" si="474">IF(CW35&gt;$D$17,$C$17,HLOOKUP(CW35,$16:$17,2,0))</f>
        <v>1</v>
      </c>
      <c r="CX36" s="1">
        <f t="shared" ref="CX36" si="475">IF(CX35&gt;$D$17,$C$17,HLOOKUP(CX35,$16:$17,2,0))</f>
        <v>1</v>
      </c>
      <c r="CY36" s="1">
        <f t="shared" ref="CY36" si="476">IF(CY35&gt;$D$17,$C$17,HLOOKUP(CY35,$16:$17,2,0))</f>
        <v>1</v>
      </c>
      <c r="CZ36" s="1">
        <f t="shared" ref="CZ36" si="477">IF(CZ35&gt;$D$17,$C$17,HLOOKUP(CZ35,$16:$17,2,0))</f>
        <v>1</v>
      </c>
      <c r="DA36" s="1">
        <f t="shared" ref="DA36" si="478">IF(DA35&gt;$D$17,$C$17,HLOOKUP(DA35,$16:$17,2,0))</f>
        <v>1</v>
      </c>
      <c r="DB36" s="1">
        <f t="shared" ref="DB36" si="479">IF(DB35&gt;$D$17,$C$17,HLOOKUP(DB35,$16:$17,2,0))</f>
        <v>1</v>
      </c>
      <c r="DC36" s="1">
        <f t="shared" ref="DC36" si="480">IF(DC35&gt;$D$17,$C$17,HLOOKUP(DC35,$16:$17,2,0))</f>
        <v>1</v>
      </c>
      <c r="DD36" s="1">
        <f t="shared" ref="DD36" si="481">IF(DD35&gt;$D$17,$C$17,HLOOKUP(DD35,$16:$17,2,0))</f>
        <v>1</v>
      </c>
      <c r="DE36" s="1">
        <f t="shared" ref="DE36" si="482">IF(DE35&gt;$D$17,$C$17,HLOOKUP(DE35,$16:$17,2,0))</f>
        <v>1</v>
      </c>
      <c r="DF36" s="1">
        <f t="shared" ref="DF36" si="483">IF(DF35&gt;$D$17,$C$17,HLOOKUP(DF35,$16:$17,2,0))</f>
        <v>1</v>
      </c>
      <c r="DG36" s="1">
        <f t="shared" ref="DG36" si="484">IF(DG35&gt;$D$17,$C$17,HLOOKUP(DG35,$16:$17,2,0))</f>
        <v>1</v>
      </c>
      <c r="DH36" s="1">
        <f t="shared" ref="DH36" si="485">IF(DH35&gt;$D$17,$C$17,HLOOKUP(DH35,$16:$17,2,0))</f>
        <v>1</v>
      </c>
      <c r="DI36" s="1">
        <f t="shared" ref="DI36" si="486">IF(DI35&gt;$D$17,$C$17,HLOOKUP(DI35,$16:$17,2,0))</f>
        <v>1</v>
      </c>
      <c r="DJ36" s="1">
        <f t="shared" ref="DJ36" si="487">IF(DJ35&gt;$D$17,$C$17,HLOOKUP(DJ35,$16:$17,2,0))</f>
        <v>1</v>
      </c>
      <c r="DK36" s="1">
        <f t="shared" ref="DK36" si="488">IF(DK35&gt;$D$17,$C$17,HLOOKUP(DK35,$16:$17,2,0))</f>
        <v>1</v>
      </c>
      <c r="DL36" s="1">
        <f t="shared" ref="DL36" si="489">IF(DL35&gt;$D$17,$C$17,HLOOKUP(DL35,$16:$17,2,0))</f>
        <v>1</v>
      </c>
      <c r="DM36" s="1">
        <f t="shared" ref="DM36" si="490">IF(DM35&gt;$D$17,$C$17,HLOOKUP(DM35,$16:$17,2,0))</f>
        <v>1</v>
      </c>
      <c r="DN36" s="1">
        <f t="shared" ref="DN36" si="491">IF(DN35&gt;$D$17,$C$17,HLOOKUP(DN35,$16:$17,2,0))</f>
        <v>1</v>
      </c>
      <c r="DO36" s="1">
        <f t="shared" ref="DO36" si="492">IF(DO35&gt;$D$17,$C$17,HLOOKUP(DO35,$16:$17,2,0))</f>
        <v>1</v>
      </c>
      <c r="DP36" s="1">
        <f t="shared" ref="DP36" si="493">IF(DP35&gt;$D$17,$C$17,HLOOKUP(DP35,$16:$17,2,0))</f>
        <v>1</v>
      </c>
      <c r="DQ36" s="1">
        <f t="shared" ref="DQ36" si="494">IF(DQ35&gt;$D$17,$C$17,HLOOKUP(DQ35,$16:$17,2,0))</f>
        <v>1</v>
      </c>
      <c r="DR36" s="1">
        <f t="shared" ref="DR36" si="495">IF(DR35&gt;$D$17,$C$17,HLOOKUP(DR35,$16:$17,2,0))</f>
        <v>1</v>
      </c>
      <c r="DS36" s="1">
        <f t="shared" ref="DS36" si="496">IF(DS35&gt;$D$17,$C$17,HLOOKUP(DS35,$16:$17,2,0))</f>
        <v>1</v>
      </c>
      <c r="DT36" s="1">
        <f t="shared" ref="DT36" si="497">IF(DT35&gt;$D$17,$C$17,HLOOKUP(DT35,$16:$17,2,0))</f>
        <v>1</v>
      </c>
      <c r="DU36" s="1">
        <f t="shared" ref="DU36" si="498">IF(DU35&gt;$D$17,$C$17,HLOOKUP(DU35,$16:$17,2,0))</f>
        <v>1</v>
      </c>
      <c r="DV36" s="1">
        <f t="shared" ref="DV36" si="499">IF(DV35&gt;$D$17,$C$17,HLOOKUP(DV35,$16:$17,2,0))</f>
        <v>1</v>
      </c>
      <c r="DW36" s="1">
        <f t="shared" ref="DW36" si="500">IF(DW35&gt;$D$17,$C$17,HLOOKUP(DW35,$16:$17,2,0))</f>
        <v>1</v>
      </c>
      <c r="DX36" s="12">
        <f t="shared" ref="DX36" si="501">IF(DX35&gt;$D$17,$C$17,HLOOKUP(DX35,$16:$17,2,0))</f>
        <v>1</v>
      </c>
    </row>
    <row r="37" spans="2:128" ht="17" thickBot="1" x14ac:dyDescent="0.25">
      <c r="B37" s="13" t="s">
        <v>17</v>
      </c>
      <c r="C37" s="15"/>
      <c r="D37" s="15">
        <f>IF(D35&gt;$D$18,$C$18,HLOOKUP(D35,$16:$18,3,0))</f>
        <v>0</v>
      </c>
      <c r="E37" s="15">
        <f t="shared" ref="E37:BP37" si="502">IF(E35&gt;$D$18,$C$18,HLOOKUP(E35,$16:$18,3,0))</f>
        <v>0</v>
      </c>
      <c r="F37" s="15">
        <f t="shared" si="502"/>
        <v>0</v>
      </c>
      <c r="G37" s="15">
        <f t="shared" si="502"/>
        <v>0</v>
      </c>
      <c r="H37" s="15">
        <f t="shared" si="502"/>
        <v>0</v>
      </c>
      <c r="I37" s="15">
        <f t="shared" si="502"/>
        <v>0</v>
      </c>
      <c r="J37" s="15">
        <f t="shared" si="502"/>
        <v>0</v>
      </c>
      <c r="K37" s="15">
        <f t="shared" si="502"/>
        <v>0</v>
      </c>
      <c r="L37" s="15">
        <f t="shared" si="502"/>
        <v>0</v>
      </c>
      <c r="M37" s="15">
        <f t="shared" si="502"/>
        <v>0</v>
      </c>
      <c r="N37" s="15">
        <f t="shared" si="502"/>
        <v>0</v>
      </c>
      <c r="O37" s="15">
        <f t="shared" si="502"/>
        <v>0</v>
      </c>
      <c r="P37" s="15">
        <f t="shared" si="502"/>
        <v>0</v>
      </c>
      <c r="Q37" s="15">
        <f t="shared" si="502"/>
        <v>0</v>
      </c>
      <c r="R37" s="15">
        <f t="shared" si="502"/>
        <v>0.7</v>
      </c>
      <c r="S37" s="15">
        <f t="shared" si="502"/>
        <v>0.7097</v>
      </c>
      <c r="T37" s="15">
        <f t="shared" si="502"/>
        <v>0.71930000000000005</v>
      </c>
      <c r="U37" s="15">
        <f t="shared" si="502"/>
        <v>0.72899999999999998</v>
      </c>
      <c r="V37" s="15">
        <f t="shared" si="502"/>
        <v>0.73860000000000003</v>
      </c>
      <c r="W37" s="15">
        <f t="shared" si="502"/>
        <v>0.74829999999999997</v>
      </c>
      <c r="X37" s="15">
        <f t="shared" si="502"/>
        <v>0.74829999999999997</v>
      </c>
      <c r="Y37" s="15">
        <f t="shared" si="502"/>
        <v>0.75790000000000002</v>
      </c>
      <c r="Z37" s="15">
        <f t="shared" si="502"/>
        <v>0.76759999999999995</v>
      </c>
      <c r="AA37" s="15">
        <f t="shared" si="502"/>
        <v>0.7772</v>
      </c>
      <c r="AB37" s="15">
        <f t="shared" si="502"/>
        <v>0.78690000000000004</v>
      </c>
      <c r="AC37" s="15">
        <f>IF(AC35&gt;$D$18,$C$18,HLOOKUP(AC35,$16:$18,3,0))</f>
        <v>0.78690000000000004</v>
      </c>
      <c r="AD37" s="15">
        <f>IF(AD35&gt;$D$18,$C$18,HLOOKUP(AD35,$16:$18,3,0))</f>
        <v>0.78690000000000004</v>
      </c>
      <c r="AE37" s="15">
        <f t="shared" si="502"/>
        <v>0.78690000000000004</v>
      </c>
      <c r="AF37" s="15">
        <f t="shared" si="502"/>
        <v>0.79659999999999997</v>
      </c>
      <c r="AG37" s="15">
        <f t="shared" si="502"/>
        <v>0.80620000000000003</v>
      </c>
      <c r="AH37" s="15">
        <f t="shared" si="502"/>
        <v>0.81589999999999996</v>
      </c>
      <c r="AI37" s="15">
        <f t="shared" si="502"/>
        <v>0.81589999999999996</v>
      </c>
      <c r="AJ37" s="15">
        <f t="shared" si="502"/>
        <v>0.81589999999999996</v>
      </c>
      <c r="AK37" s="15">
        <f t="shared" si="502"/>
        <v>0.81589999999999996</v>
      </c>
      <c r="AL37" s="15">
        <f t="shared" si="502"/>
        <v>0.81589999999999996</v>
      </c>
      <c r="AM37" s="15">
        <f t="shared" si="502"/>
        <v>0.81589999999999996</v>
      </c>
      <c r="AN37" s="15">
        <f t="shared" si="502"/>
        <v>0.81589999999999996</v>
      </c>
      <c r="AO37" s="15">
        <f t="shared" si="502"/>
        <v>0.81589999999999996</v>
      </c>
      <c r="AP37" s="15">
        <f t="shared" si="502"/>
        <v>0.82550000000000001</v>
      </c>
      <c r="AQ37" s="15">
        <f t="shared" si="502"/>
        <v>0.83520000000000005</v>
      </c>
      <c r="AR37" s="15">
        <f t="shared" si="502"/>
        <v>0.8448</v>
      </c>
      <c r="AS37" s="15">
        <f t="shared" si="502"/>
        <v>0.8448</v>
      </c>
      <c r="AT37" s="15">
        <f t="shared" si="502"/>
        <v>0.85450000000000004</v>
      </c>
      <c r="AU37" s="15">
        <f t="shared" si="502"/>
        <v>0.86409999999999998</v>
      </c>
      <c r="AV37" s="15">
        <f t="shared" si="502"/>
        <v>0.87380000000000002</v>
      </c>
      <c r="AW37" s="15">
        <f t="shared" si="502"/>
        <v>0.88339999999999996</v>
      </c>
      <c r="AX37" s="15">
        <f t="shared" si="502"/>
        <v>0.8931</v>
      </c>
      <c r="AY37" s="15">
        <f t="shared" si="502"/>
        <v>0.90280000000000005</v>
      </c>
      <c r="AZ37" s="15">
        <f t="shared" si="502"/>
        <v>0.90280000000000005</v>
      </c>
      <c r="BA37" s="15">
        <f t="shared" si="502"/>
        <v>0.91239999999999999</v>
      </c>
      <c r="BB37" s="15">
        <f t="shared" si="502"/>
        <v>0.92210000000000003</v>
      </c>
      <c r="BC37" s="15">
        <f t="shared" si="502"/>
        <v>0.93169999999999997</v>
      </c>
      <c r="BD37" s="15">
        <f t="shared" si="502"/>
        <v>0.94140000000000001</v>
      </c>
      <c r="BE37" s="15">
        <f t="shared" si="502"/>
        <v>0.95099999999999996</v>
      </c>
      <c r="BF37" s="15">
        <f t="shared" si="502"/>
        <v>0.9607</v>
      </c>
      <c r="BG37" s="15">
        <f t="shared" si="502"/>
        <v>0.9607</v>
      </c>
      <c r="BH37" s="15">
        <f t="shared" si="502"/>
        <v>0.97030000000000005</v>
      </c>
      <c r="BI37" s="15">
        <f t="shared" si="502"/>
        <v>0.98</v>
      </c>
      <c r="BJ37" s="15">
        <f t="shared" si="502"/>
        <v>0.98</v>
      </c>
      <c r="BK37" s="15">
        <f t="shared" si="502"/>
        <v>0.98</v>
      </c>
      <c r="BL37" s="15">
        <f t="shared" si="502"/>
        <v>0.98</v>
      </c>
      <c r="BM37" s="15">
        <f t="shared" si="502"/>
        <v>0.98</v>
      </c>
      <c r="BN37" s="15">
        <f t="shared" si="502"/>
        <v>0.98</v>
      </c>
      <c r="BO37" s="15">
        <f t="shared" si="502"/>
        <v>0.98</v>
      </c>
      <c r="BP37" s="15">
        <f t="shared" si="502"/>
        <v>0.98</v>
      </c>
      <c r="BQ37" s="15">
        <f t="shared" ref="BQ37:DX37" si="503">IF(BQ35&gt;$D$18,$C$18,HLOOKUP(BQ35,$16:$18,3,0))</f>
        <v>0.98</v>
      </c>
      <c r="BR37" s="15">
        <f t="shared" si="503"/>
        <v>0.98</v>
      </c>
      <c r="BS37" s="15">
        <f t="shared" si="503"/>
        <v>0.98</v>
      </c>
      <c r="BT37" s="15">
        <f t="shared" si="503"/>
        <v>0.98</v>
      </c>
      <c r="BU37" s="15">
        <f t="shared" si="503"/>
        <v>0.98</v>
      </c>
      <c r="BV37" s="15">
        <f t="shared" si="503"/>
        <v>0.98</v>
      </c>
      <c r="BW37" s="15">
        <f t="shared" si="503"/>
        <v>0.98</v>
      </c>
      <c r="BX37" s="15">
        <f t="shared" si="503"/>
        <v>0.98</v>
      </c>
      <c r="BY37" s="15">
        <f t="shared" si="503"/>
        <v>0.98</v>
      </c>
      <c r="BZ37" s="15">
        <f t="shared" si="503"/>
        <v>0.98</v>
      </c>
      <c r="CA37" s="15">
        <f t="shared" si="503"/>
        <v>0.98</v>
      </c>
      <c r="CB37" s="15">
        <f t="shared" si="503"/>
        <v>0.98</v>
      </c>
      <c r="CC37" s="15">
        <f t="shared" si="503"/>
        <v>0.98</v>
      </c>
      <c r="CD37" s="15">
        <f t="shared" si="503"/>
        <v>0.98</v>
      </c>
      <c r="CE37" s="15">
        <f t="shared" si="503"/>
        <v>0.98</v>
      </c>
      <c r="CF37" s="15">
        <f t="shared" si="503"/>
        <v>0.98</v>
      </c>
      <c r="CG37" s="15">
        <f t="shared" si="503"/>
        <v>0.98</v>
      </c>
      <c r="CH37" s="15">
        <f t="shared" si="503"/>
        <v>0.98</v>
      </c>
      <c r="CI37" s="15">
        <f t="shared" si="503"/>
        <v>0.98</v>
      </c>
      <c r="CJ37" s="15">
        <f t="shared" si="503"/>
        <v>0.98</v>
      </c>
      <c r="CK37" s="15">
        <f t="shared" si="503"/>
        <v>0.98</v>
      </c>
      <c r="CL37" s="15">
        <f t="shared" si="503"/>
        <v>0.98</v>
      </c>
      <c r="CM37" s="15">
        <f t="shared" si="503"/>
        <v>0.98</v>
      </c>
      <c r="CN37" s="15">
        <f t="shared" si="503"/>
        <v>0.98</v>
      </c>
      <c r="CO37" s="15">
        <f t="shared" si="503"/>
        <v>0.98</v>
      </c>
      <c r="CP37" s="15">
        <f t="shared" si="503"/>
        <v>0.98</v>
      </c>
      <c r="CQ37" s="15">
        <f t="shared" si="503"/>
        <v>0.98</v>
      </c>
      <c r="CR37" s="15">
        <f t="shared" si="503"/>
        <v>0.98</v>
      </c>
      <c r="CS37" s="15">
        <f t="shared" si="503"/>
        <v>0.98</v>
      </c>
      <c r="CT37" s="15">
        <f t="shared" si="503"/>
        <v>0.98</v>
      </c>
      <c r="CU37" s="15">
        <f t="shared" si="503"/>
        <v>0.98</v>
      </c>
      <c r="CV37" s="15">
        <f t="shared" si="503"/>
        <v>0.98</v>
      </c>
      <c r="CW37" s="15">
        <f t="shared" si="503"/>
        <v>0.98</v>
      </c>
      <c r="CX37" s="15">
        <f t="shared" si="503"/>
        <v>0.98</v>
      </c>
      <c r="CY37" s="15">
        <f t="shared" si="503"/>
        <v>0.98</v>
      </c>
      <c r="CZ37" s="15">
        <f t="shared" si="503"/>
        <v>0.98</v>
      </c>
      <c r="DA37" s="15">
        <f t="shared" si="503"/>
        <v>0.98</v>
      </c>
      <c r="DB37" s="15">
        <f t="shared" si="503"/>
        <v>0.98</v>
      </c>
      <c r="DC37" s="15">
        <f t="shared" si="503"/>
        <v>0.98</v>
      </c>
      <c r="DD37" s="15">
        <f t="shared" si="503"/>
        <v>0.98</v>
      </c>
      <c r="DE37" s="15">
        <f t="shared" si="503"/>
        <v>0.98</v>
      </c>
      <c r="DF37" s="15">
        <f t="shared" si="503"/>
        <v>0.98</v>
      </c>
      <c r="DG37" s="15">
        <f t="shared" si="503"/>
        <v>0.98</v>
      </c>
      <c r="DH37" s="15">
        <f t="shared" si="503"/>
        <v>0.98</v>
      </c>
      <c r="DI37" s="15">
        <f t="shared" si="503"/>
        <v>0.98</v>
      </c>
      <c r="DJ37" s="15">
        <f t="shared" si="503"/>
        <v>0.98</v>
      </c>
      <c r="DK37" s="15">
        <f t="shared" si="503"/>
        <v>0.98</v>
      </c>
      <c r="DL37" s="15">
        <f t="shared" si="503"/>
        <v>0.98</v>
      </c>
      <c r="DM37" s="15">
        <f t="shared" si="503"/>
        <v>0.98</v>
      </c>
      <c r="DN37" s="15">
        <f t="shared" si="503"/>
        <v>0.98</v>
      </c>
      <c r="DO37" s="15">
        <f t="shared" si="503"/>
        <v>0.98</v>
      </c>
      <c r="DP37" s="15">
        <f t="shared" si="503"/>
        <v>0.98</v>
      </c>
      <c r="DQ37" s="15">
        <f t="shared" si="503"/>
        <v>0.98</v>
      </c>
      <c r="DR37" s="15">
        <f t="shared" si="503"/>
        <v>0.98</v>
      </c>
      <c r="DS37" s="15">
        <f t="shared" si="503"/>
        <v>0.98</v>
      </c>
      <c r="DT37" s="15">
        <f t="shared" si="503"/>
        <v>0.98</v>
      </c>
      <c r="DU37" s="15">
        <f t="shared" si="503"/>
        <v>0.98</v>
      </c>
      <c r="DV37" s="15">
        <f t="shared" si="503"/>
        <v>0.98</v>
      </c>
      <c r="DW37" s="15">
        <f t="shared" si="503"/>
        <v>0.98</v>
      </c>
      <c r="DX37" s="16">
        <f t="shared" si="503"/>
        <v>0.98</v>
      </c>
    </row>
    <row r="38" spans="2:128" x14ac:dyDescent="0.2">
      <c r="B38" s="1" t="s">
        <v>20</v>
      </c>
      <c r="D38" s="21">
        <f>(D27+D30+D33+D36)*D23*D24</f>
        <v>0</v>
      </c>
      <c r="E38" s="21">
        <f>(E27+E30+E33+E36)*E23*E24</f>
        <v>0</v>
      </c>
      <c r="F38" s="21">
        <f>(F27+F30+F33+F36)*F23*F24</f>
        <v>0</v>
      </c>
      <c r="G38" s="21">
        <f>(G27+G30+G33+G36)*G23*G24</f>
        <v>600</v>
      </c>
      <c r="H38" s="21">
        <f>(H27+H30+H33+H36)*H23*H24</f>
        <v>624</v>
      </c>
      <c r="I38" s="21">
        <f>(I27+I30+I33+I36)*I23*I24</f>
        <v>636</v>
      </c>
      <c r="J38" s="21">
        <f>(J27+J30+J33+J36)*J23*J24</f>
        <v>0</v>
      </c>
      <c r="K38" s="21">
        <f>(K27+K30+K33+K36)*K23*K24</f>
        <v>1260</v>
      </c>
      <c r="L38" s="21">
        <f>(L27+L30+L33+L36)*L23*L24</f>
        <v>1307.9999999999998</v>
      </c>
      <c r="M38" s="21">
        <f>(M27+M30+M33+M36)*M23*M24</f>
        <v>1344</v>
      </c>
      <c r="N38" s="21">
        <f>(N27+N30+N33+N36)*N23*N24</f>
        <v>1980.0000000000002</v>
      </c>
      <c r="O38" s="21">
        <f>(O27+O30+O33+O36)*O23*O24</f>
        <v>2052</v>
      </c>
      <c r="P38" s="21">
        <f>(P27+P30+P33+P36)*P23*P24</f>
        <v>2112</v>
      </c>
      <c r="Q38" s="21">
        <f>(Q27+Q30+Q33+Q36)*Q23*Q24</f>
        <v>0</v>
      </c>
      <c r="R38" s="21">
        <f>(R27+R30+R33+R36)*R23*R24</f>
        <v>2772</v>
      </c>
      <c r="S38" s="21">
        <f>(S27+S30+S33+S36)*S23*S24</f>
        <v>2855.9999999999995</v>
      </c>
      <c r="T38" s="21">
        <f>(T27+T30+T33+T36)*T23*T24</f>
        <v>2940</v>
      </c>
      <c r="U38" s="21">
        <f>(U27+U30+U33+U36)*U23*U24</f>
        <v>3024.0000000000005</v>
      </c>
      <c r="V38" s="21">
        <f>(V27+V30+V33+V36)*V23*V24</f>
        <v>3095.9999999999995</v>
      </c>
      <c r="W38" s="21">
        <f>(W27+W30+W33+W36)*W23*W24</f>
        <v>3192</v>
      </c>
      <c r="X38" s="21">
        <f>(X27+X30+X33+X36)*X23*X24</f>
        <v>0</v>
      </c>
      <c r="Y38" s="21">
        <f>(Y27+Y30+Y33+Y36)*Y23*Y24</f>
        <v>3276</v>
      </c>
      <c r="Z38" s="21">
        <f>(Z27+Z30+Z33+Z36)*Z23*Z24</f>
        <v>3348</v>
      </c>
      <c r="AA38" s="21">
        <f>(AA27+AA30+AA33+AA36)*AA23*AA24</f>
        <v>3432</v>
      </c>
      <c r="AB38" s="21">
        <f>(AB27+AB30+AB33+AB36)*AB23*AB24</f>
        <v>3528.0000000000009</v>
      </c>
      <c r="AC38" s="21">
        <f>(AC27+AC30+AC33+AC36)*AC23*AC24</f>
        <v>0</v>
      </c>
      <c r="AD38" s="21">
        <f>(AD27+AD30+AD33+AD36)*AD23*AD24</f>
        <v>0</v>
      </c>
      <c r="AE38" s="21">
        <f>(AE27+AE30+AE33+AE36)*AE23*AE24</f>
        <v>0</v>
      </c>
      <c r="AF38" s="21">
        <f>(AF27+AF30+AF33+AF36)*AF23*AF24</f>
        <v>3600</v>
      </c>
      <c r="AG38" s="21">
        <f>(AG27+AG30+AG33+AG36)*AG23*AG24</f>
        <v>3672</v>
      </c>
      <c r="AH38" s="21">
        <f>(AH27+AH30+AH33+AH36)*AH23*AH24</f>
        <v>3768</v>
      </c>
      <c r="AI38" s="21">
        <f>(AI27+AI30+AI33+AI36)*AI23*AI24</f>
        <v>0</v>
      </c>
      <c r="AJ38" s="21">
        <f>(AJ27+AJ30+AJ33+AJ36)*AJ23*AJ24</f>
        <v>0</v>
      </c>
      <c r="AK38" s="21">
        <f>(AK27+AK30+AK33+AK36)*AK23*AK24</f>
        <v>0</v>
      </c>
      <c r="AL38" s="21">
        <f>(AL27+AL30+AL33+AL36)*AL23*AL24</f>
        <v>0</v>
      </c>
      <c r="AM38" s="21">
        <f>(AM27+AM30+AM33+AM36)*AM23*AM24</f>
        <v>0</v>
      </c>
      <c r="AN38" s="21">
        <f>(AN27+AN30+AN33+AN36)*AN23*AN24</f>
        <v>0</v>
      </c>
      <c r="AO38" s="21">
        <f>(AO27+AO30+AO33+AO36)*AO23*AO24</f>
        <v>0</v>
      </c>
      <c r="AP38" s="21">
        <f>(AP27+AP30+AP33+AP36)*AP23*AP24</f>
        <v>3852</v>
      </c>
      <c r="AQ38" s="21">
        <f>(AQ27+AQ30+AQ33+AQ36)*AQ23*AQ24</f>
        <v>3924</v>
      </c>
      <c r="AR38" s="21">
        <f>(AR27+AR30+AR33+AR36)*AR23*AR24</f>
        <v>4007.9999999999995</v>
      </c>
      <c r="AS38" s="21">
        <f>(AS27+AS30+AS33+AS36)*AS23*AS24</f>
        <v>0</v>
      </c>
      <c r="AT38" s="21">
        <f>(AT27+AT30+AT33+AT36)*AT23*AT24</f>
        <v>4104</v>
      </c>
      <c r="AU38" s="21">
        <f>(AU27+AU30+AU33+AU36)*AU23*AU24</f>
        <v>4176</v>
      </c>
      <c r="AV38" s="21">
        <f>(AV27+AV30+AV33+AV36)*AV23*AV24</f>
        <v>4260.0000000000009</v>
      </c>
      <c r="AW38" s="21">
        <f>(AW27+AW30+AW33+AW36)*AW23*AW24</f>
        <v>4344</v>
      </c>
      <c r="AX38" s="21">
        <f>(AX27+AX30+AX33+AX36)*AX23*AX24</f>
        <v>4428</v>
      </c>
      <c r="AY38" s="21">
        <f>(AY27+AY30+AY33+AY36)*AY23*AY24</f>
        <v>4488</v>
      </c>
      <c r="AZ38" s="21">
        <f>(AZ27+AZ30+AZ33+AZ36)*AZ23*AZ24</f>
        <v>0</v>
      </c>
      <c r="BA38" s="21">
        <f>(BA27+BA30+BA33+BA36)*BA23*BA24</f>
        <v>4548</v>
      </c>
      <c r="BB38" s="21">
        <f>(BB27+BB30+BB33+BB36)*BB23*BB24</f>
        <v>4620</v>
      </c>
      <c r="BC38" s="21">
        <f>(BC27+BC30+BC33+BC36)*BC23*BC24</f>
        <v>4656</v>
      </c>
      <c r="BD38" s="21">
        <f>(BD27+BD30+BD33+BD36)*BD23*BD24</f>
        <v>4692</v>
      </c>
      <c r="BE38" s="21">
        <f>(BE27+BE30+BE33+BE36)*BE23*BE24</f>
        <v>4740</v>
      </c>
      <c r="BF38" s="21">
        <f>(BF27+BF30+BF33+BF36)*BF23*BF24</f>
        <v>4764</v>
      </c>
      <c r="BG38" s="21">
        <f>(BG27+BG30+BG33+BG36)*BG23*BG24</f>
        <v>0</v>
      </c>
      <c r="BH38" s="21">
        <f>(BH27+BH30+BH33+BH36)*BH23*BH24</f>
        <v>4776</v>
      </c>
      <c r="BI38" s="21">
        <f>(BI27+BI30+BI33+BI36)*BI23*BI24</f>
        <v>4800</v>
      </c>
      <c r="BJ38" s="21">
        <f>(BJ27+BJ30+BJ33+BJ36)*BJ23*BJ24</f>
        <v>4800</v>
      </c>
      <c r="BK38" s="21">
        <f>(BK27+BK30+BK33+BK36)*BK23*BK24</f>
        <v>4800</v>
      </c>
      <c r="BL38" s="21">
        <f>(BL27+BL30+BL33+BL36)*BL23*BL24</f>
        <v>4800</v>
      </c>
      <c r="BM38" s="21">
        <f>(BM27+BM30+BM33+BM36)*BM23*BM24</f>
        <v>4800</v>
      </c>
      <c r="BN38" s="21">
        <f>(BN27+BN30+BN33+BN36)*BN23*BN24</f>
        <v>0</v>
      </c>
      <c r="BO38" s="21">
        <f>(BO27+BO30+BO33+BO36)*BO23*BO24</f>
        <v>4800</v>
      </c>
      <c r="BP38" s="21">
        <f>(BP27+BP30+BP33+BP36)*BP23*BP24</f>
        <v>4800</v>
      </c>
      <c r="BQ38" s="21">
        <f t="shared" ref="BQ38:DX38" si="504">(BQ27+BQ30+BQ33+BQ36)*BQ23*BQ24</f>
        <v>4800</v>
      </c>
      <c r="BR38" s="21">
        <f t="shared" si="504"/>
        <v>4800</v>
      </c>
      <c r="BS38" s="21">
        <f t="shared" si="504"/>
        <v>4800</v>
      </c>
      <c r="BT38" s="21">
        <f t="shared" si="504"/>
        <v>4800</v>
      </c>
      <c r="BU38" s="21">
        <f t="shared" si="504"/>
        <v>0</v>
      </c>
      <c r="BV38" s="21">
        <f t="shared" si="504"/>
        <v>4800</v>
      </c>
      <c r="BW38" s="21">
        <f t="shared" si="504"/>
        <v>4800</v>
      </c>
      <c r="BX38" s="21">
        <f t="shared" si="504"/>
        <v>4800</v>
      </c>
      <c r="BY38" s="21">
        <f t="shared" si="504"/>
        <v>4800</v>
      </c>
      <c r="BZ38" s="21">
        <f t="shared" si="504"/>
        <v>4800</v>
      </c>
      <c r="CA38" s="21">
        <f t="shared" si="504"/>
        <v>4800</v>
      </c>
      <c r="CB38" s="21">
        <f t="shared" si="504"/>
        <v>0</v>
      </c>
      <c r="CC38" s="21">
        <f t="shared" si="504"/>
        <v>4800</v>
      </c>
      <c r="CD38" s="21">
        <f t="shared" si="504"/>
        <v>4800</v>
      </c>
      <c r="CE38" s="21">
        <f t="shared" si="504"/>
        <v>4800</v>
      </c>
      <c r="CF38" s="21">
        <f t="shared" si="504"/>
        <v>4800</v>
      </c>
      <c r="CG38" s="21">
        <f t="shared" si="504"/>
        <v>4800</v>
      </c>
      <c r="CH38" s="21">
        <f t="shared" si="504"/>
        <v>4800</v>
      </c>
      <c r="CI38" s="21">
        <f t="shared" si="504"/>
        <v>0</v>
      </c>
      <c r="CJ38" s="21">
        <f t="shared" si="504"/>
        <v>4800</v>
      </c>
      <c r="CK38" s="21">
        <f t="shared" si="504"/>
        <v>4800</v>
      </c>
      <c r="CL38" s="21">
        <f t="shared" si="504"/>
        <v>4800</v>
      </c>
      <c r="CM38" s="21">
        <f t="shared" si="504"/>
        <v>4800</v>
      </c>
      <c r="CN38" s="21">
        <f t="shared" si="504"/>
        <v>4800</v>
      </c>
      <c r="CO38" s="21">
        <f t="shared" si="504"/>
        <v>4800</v>
      </c>
      <c r="CP38" s="21">
        <f t="shared" si="504"/>
        <v>0</v>
      </c>
      <c r="CQ38" s="21">
        <f t="shared" si="504"/>
        <v>4800</v>
      </c>
      <c r="CR38" s="21">
        <f t="shared" si="504"/>
        <v>4800</v>
      </c>
      <c r="CS38" s="21">
        <f t="shared" si="504"/>
        <v>4800</v>
      </c>
      <c r="CT38" s="21">
        <f t="shared" si="504"/>
        <v>4800</v>
      </c>
      <c r="CU38" s="21">
        <f t="shared" si="504"/>
        <v>4800</v>
      </c>
      <c r="CV38" s="21">
        <f t="shared" si="504"/>
        <v>4800</v>
      </c>
      <c r="CW38" s="21">
        <f t="shared" si="504"/>
        <v>0</v>
      </c>
      <c r="CX38" s="21">
        <f t="shared" si="504"/>
        <v>4800</v>
      </c>
      <c r="CY38" s="21">
        <f t="shared" si="504"/>
        <v>4800</v>
      </c>
      <c r="CZ38" s="21">
        <f t="shared" si="504"/>
        <v>4800</v>
      </c>
      <c r="DA38" s="21">
        <f t="shared" si="504"/>
        <v>4800</v>
      </c>
      <c r="DB38" s="21">
        <f t="shared" si="504"/>
        <v>4800</v>
      </c>
      <c r="DC38" s="21">
        <f t="shared" si="504"/>
        <v>4800</v>
      </c>
      <c r="DD38" s="21">
        <f t="shared" si="504"/>
        <v>0</v>
      </c>
      <c r="DE38" s="21">
        <f t="shared" si="504"/>
        <v>4800</v>
      </c>
      <c r="DF38" s="21">
        <f t="shared" si="504"/>
        <v>4800</v>
      </c>
      <c r="DG38" s="21">
        <f t="shared" si="504"/>
        <v>4800</v>
      </c>
      <c r="DH38" s="21">
        <f t="shared" si="504"/>
        <v>4800</v>
      </c>
      <c r="DI38" s="21">
        <f t="shared" si="504"/>
        <v>4800</v>
      </c>
      <c r="DJ38" s="21">
        <f t="shared" si="504"/>
        <v>4800</v>
      </c>
      <c r="DK38" s="21">
        <f t="shared" si="504"/>
        <v>0</v>
      </c>
      <c r="DL38" s="21">
        <f t="shared" si="504"/>
        <v>4800</v>
      </c>
      <c r="DM38" s="21">
        <f t="shared" si="504"/>
        <v>4800</v>
      </c>
      <c r="DN38" s="21">
        <f t="shared" si="504"/>
        <v>4800</v>
      </c>
      <c r="DO38" s="21">
        <f t="shared" si="504"/>
        <v>4800</v>
      </c>
      <c r="DP38" s="21">
        <f t="shared" si="504"/>
        <v>4800</v>
      </c>
      <c r="DQ38" s="21">
        <f t="shared" si="504"/>
        <v>4800</v>
      </c>
      <c r="DR38" s="21">
        <f t="shared" si="504"/>
        <v>0</v>
      </c>
      <c r="DS38" s="21">
        <f t="shared" si="504"/>
        <v>4800</v>
      </c>
      <c r="DT38" s="21">
        <f t="shared" si="504"/>
        <v>4800</v>
      </c>
      <c r="DU38" s="21">
        <f t="shared" si="504"/>
        <v>4800</v>
      </c>
      <c r="DV38" s="21">
        <f t="shared" si="504"/>
        <v>4800</v>
      </c>
      <c r="DW38" s="21">
        <f t="shared" si="504"/>
        <v>4800</v>
      </c>
      <c r="DX38" s="21">
        <f t="shared" si="504"/>
        <v>4800</v>
      </c>
    </row>
    <row r="39" spans="2:128" x14ac:dyDescent="0.2">
      <c r="B39" s="1" t="s">
        <v>26</v>
      </c>
      <c r="D39" s="21">
        <f>C39+D38</f>
        <v>0</v>
      </c>
      <c r="E39" s="21">
        <f t="shared" ref="E39:BP39" si="505">D39+E38</f>
        <v>0</v>
      </c>
      <c r="F39" s="21">
        <f t="shared" si="505"/>
        <v>0</v>
      </c>
      <c r="G39" s="21">
        <f t="shared" si="505"/>
        <v>600</v>
      </c>
      <c r="H39" s="21">
        <f t="shared" si="505"/>
        <v>1224</v>
      </c>
      <c r="I39" s="21">
        <f t="shared" si="505"/>
        <v>1860</v>
      </c>
      <c r="J39" s="21">
        <f t="shared" si="505"/>
        <v>1860</v>
      </c>
      <c r="K39" s="21">
        <f t="shared" si="505"/>
        <v>3120</v>
      </c>
      <c r="L39" s="21">
        <f t="shared" si="505"/>
        <v>4428</v>
      </c>
      <c r="M39" s="21">
        <f t="shared" si="505"/>
        <v>5772</v>
      </c>
      <c r="N39" s="21">
        <f t="shared" si="505"/>
        <v>7752</v>
      </c>
      <c r="O39" s="21">
        <f t="shared" si="505"/>
        <v>9804</v>
      </c>
      <c r="P39" s="21">
        <f t="shared" si="505"/>
        <v>11916</v>
      </c>
      <c r="Q39" s="21">
        <f t="shared" si="505"/>
        <v>11916</v>
      </c>
      <c r="R39" s="21">
        <f t="shared" si="505"/>
        <v>14688</v>
      </c>
      <c r="S39" s="21">
        <f t="shared" si="505"/>
        <v>17544</v>
      </c>
      <c r="T39" s="21">
        <f t="shared" si="505"/>
        <v>20484</v>
      </c>
      <c r="U39" s="21">
        <f t="shared" si="505"/>
        <v>23508</v>
      </c>
      <c r="V39" s="21">
        <f t="shared" si="505"/>
        <v>26604</v>
      </c>
      <c r="W39" s="21">
        <f t="shared" si="505"/>
        <v>29796</v>
      </c>
      <c r="X39" s="21">
        <f t="shared" si="505"/>
        <v>29796</v>
      </c>
      <c r="Y39" s="21">
        <f t="shared" si="505"/>
        <v>33072</v>
      </c>
      <c r="Z39" s="21">
        <f t="shared" si="505"/>
        <v>36420</v>
      </c>
      <c r="AA39" s="21">
        <f t="shared" si="505"/>
        <v>39852</v>
      </c>
      <c r="AB39" s="21">
        <f t="shared" si="505"/>
        <v>43380</v>
      </c>
      <c r="AC39" s="21">
        <f t="shared" si="505"/>
        <v>43380</v>
      </c>
      <c r="AD39" s="21">
        <f t="shared" si="505"/>
        <v>43380</v>
      </c>
      <c r="AE39" s="21">
        <f t="shared" si="505"/>
        <v>43380</v>
      </c>
      <c r="AF39" s="21">
        <f t="shared" si="505"/>
        <v>46980</v>
      </c>
      <c r="AG39" s="21">
        <f t="shared" si="505"/>
        <v>50652</v>
      </c>
      <c r="AH39" s="21">
        <f t="shared" si="505"/>
        <v>54420</v>
      </c>
      <c r="AI39" s="21">
        <f t="shared" si="505"/>
        <v>54420</v>
      </c>
      <c r="AJ39" s="21">
        <f t="shared" si="505"/>
        <v>54420</v>
      </c>
      <c r="AK39" s="21">
        <f t="shared" si="505"/>
        <v>54420</v>
      </c>
      <c r="AL39" s="21">
        <f t="shared" si="505"/>
        <v>54420</v>
      </c>
      <c r="AM39" s="21">
        <f t="shared" si="505"/>
        <v>54420</v>
      </c>
      <c r="AN39" s="21">
        <f t="shared" si="505"/>
        <v>54420</v>
      </c>
      <c r="AO39" s="21">
        <f t="shared" si="505"/>
        <v>54420</v>
      </c>
      <c r="AP39" s="21">
        <f t="shared" si="505"/>
        <v>58272</v>
      </c>
      <c r="AQ39" s="21">
        <f t="shared" si="505"/>
        <v>62196</v>
      </c>
      <c r="AR39" s="21">
        <f t="shared" si="505"/>
        <v>66204</v>
      </c>
      <c r="AS39" s="21">
        <f t="shared" si="505"/>
        <v>66204</v>
      </c>
      <c r="AT39" s="21">
        <f t="shared" si="505"/>
        <v>70308</v>
      </c>
      <c r="AU39" s="21">
        <f t="shared" si="505"/>
        <v>74484</v>
      </c>
      <c r="AV39" s="21">
        <f t="shared" si="505"/>
        <v>78744</v>
      </c>
      <c r="AW39" s="21">
        <f t="shared" si="505"/>
        <v>83088</v>
      </c>
      <c r="AX39" s="21">
        <f t="shared" si="505"/>
        <v>87516</v>
      </c>
      <c r="AY39" s="21">
        <f t="shared" si="505"/>
        <v>92004</v>
      </c>
      <c r="AZ39" s="21">
        <f t="shared" si="505"/>
        <v>92004</v>
      </c>
      <c r="BA39" s="21">
        <f t="shared" si="505"/>
        <v>96552</v>
      </c>
      <c r="BB39" s="21">
        <f t="shared" si="505"/>
        <v>101172</v>
      </c>
      <c r="BC39" s="21">
        <f t="shared" si="505"/>
        <v>105828</v>
      </c>
      <c r="BD39" s="21">
        <f t="shared" si="505"/>
        <v>110520</v>
      </c>
      <c r="BE39" s="21">
        <f t="shared" si="505"/>
        <v>115260</v>
      </c>
      <c r="BF39" s="21">
        <f t="shared" si="505"/>
        <v>120024</v>
      </c>
      <c r="BG39" s="21">
        <f t="shared" si="505"/>
        <v>120024</v>
      </c>
      <c r="BH39" s="21">
        <f t="shared" si="505"/>
        <v>124800</v>
      </c>
      <c r="BI39" s="21">
        <f t="shared" si="505"/>
        <v>129600</v>
      </c>
      <c r="BJ39" s="21">
        <f t="shared" si="505"/>
        <v>134400</v>
      </c>
      <c r="BK39" s="21">
        <f t="shared" si="505"/>
        <v>139200</v>
      </c>
      <c r="BL39" s="21">
        <f t="shared" si="505"/>
        <v>144000</v>
      </c>
      <c r="BM39" s="21">
        <f t="shared" si="505"/>
        <v>148800</v>
      </c>
      <c r="BN39" s="21">
        <f t="shared" si="505"/>
        <v>148800</v>
      </c>
      <c r="BO39" s="21">
        <f t="shared" si="505"/>
        <v>153600</v>
      </c>
      <c r="BP39" s="21">
        <f t="shared" si="505"/>
        <v>158400</v>
      </c>
      <c r="BQ39" s="21">
        <f t="shared" ref="BQ39:DX39" si="506">BP39+BQ38</f>
        <v>163200</v>
      </c>
      <c r="BR39" s="21">
        <f t="shared" si="506"/>
        <v>168000</v>
      </c>
      <c r="BS39" s="21">
        <f t="shared" si="506"/>
        <v>172800</v>
      </c>
      <c r="BT39" s="21">
        <f t="shared" si="506"/>
        <v>177600</v>
      </c>
      <c r="BU39" s="21">
        <f t="shared" si="506"/>
        <v>177600</v>
      </c>
      <c r="BV39" s="21">
        <f t="shared" si="506"/>
        <v>182400</v>
      </c>
      <c r="BW39" s="21">
        <f t="shared" si="506"/>
        <v>187200</v>
      </c>
      <c r="BX39" s="21">
        <f t="shared" si="506"/>
        <v>192000</v>
      </c>
      <c r="BY39" s="21">
        <f t="shared" si="506"/>
        <v>196800</v>
      </c>
      <c r="BZ39" s="21">
        <f t="shared" si="506"/>
        <v>201600</v>
      </c>
      <c r="CA39" s="21">
        <f t="shared" si="506"/>
        <v>206400</v>
      </c>
      <c r="CB39" s="21">
        <f t="shared" si="506"/>
        <v>206400</v>
      </c>
      <c r="CC39" s="21">
        <f t="shared" si="506"/>
        <v>211200</v>
      </c>
      <c r="CD39" s="21">
        <f t="shared" si="506"/>
        <v>216000</v>
      </c>
      <c r="CE39" s="21">
        <f t="shared" si="506"/>
        <v>220800</v>
      </c>
      <c r="CF39" s="21">
        <f t="shared" si="506"/>
        <v>225600</v>
      </c>
      <c r="CG39" s="21">
        <f t="shared" si="506"/>
        <v>230400</v>
      </c>
      <c r="CH39" s="21">
        <f t="shared" si="506"/>
        <v>235200</v>
      </c>
      <c r="CI39" s="21">
        <f t="shared" si="506"/>
        <v>235200</v>
      </c>
      <c r="CJ39" s="21">
        <f t="shared" si="506"/>
        <v>240000</v>
      </c>
      <c r="CK39" s="21">
        <f t="shared" si="506"/>
        <v>244800</v>
      </c>
      <c r="CL39" s="21">
        <f t="shared" si="506"/>
        <v>249600</v>
      </c>
      <c r="CM39" s="21">
        <f t="shared" si="506"/>
        <v>254400</v>
      </c>
      <c r="CN39" s="21">
        <f t="shared" si="506"/>
        <v>259200</v>
      </c>
      <c r="CO39" s="21">
        <f t="shared" si="506"/>
        <v>264000</v>
      </c>
      <c r="CP39" s="21">
        <f t="shared" si="506"/>
        <v>264000</v>
      </c>
      <c r="CQ39" s="21">
        <f t="shared" si="506"/>
        <v>268800</v>
      </c>
      <c r="CR39" s="21">
        <f t="shared" si="506"/>
        <v>273600</v>
      </c>
      <c r="CS39" s="21">
        <f t="shared" si="506"/>
        <v>278400</v>
      </c>
      <c r="CT39" s="21">
        <f t="shared" si="506"/>
        <v>283200</v>
      </c>
      <c r="CU39" s="21">
        <f t="shared" si="506"/>
        <v>288000</v>
      </c>
      <c r="CV39" s="21">
        <f t="shared" si="506"/>
        <v>292800</v>
      </c>
      <c r="CW39" s="21">
        <f t="shared" si="506"/>
        <v>292800</v>
      </c>
      <c r="CX39" s="21">
        <f t="shared" si="506"/>
        <v>297600</v>
      </c>
      <c r="CY39" s="21">
        <f t="shared" si="506"/>
        <v>302400</v>
      </c>
      <c r="CZ39" s="21">
        <f t="shared" si="506"/>
        <v>307200</v>
      </c>
      <c r="DA39" s="21">
        <f t="shared" si="506"/>
        <v>312000</v>
      </c>
      <c r="DB39" s="21">
        <f t="shared" si="506"/>
        <v>316800</v>
      </c>
      <c r="DC39" s="21">
        <f t="shared" si="506"/>
        <v>321600</v>
      </c>
      <c r="DD39" s="21">
        <f t="shared" si="506"/>
        <v>321600</v>
      </c>
      <c r="DE39" s="21">
        <f t="shared" si="506"/>
        <v>326400</v>
      </c>
      <c r="DF39" s="21">
        <f t="shared" si="506"/>
        <v>331200</v>
      </c>
      <c r="DG39" s="21">
        <f t="shared" si="506"/>
        <v>336000</v>
      </c>
      <c r="DH39" s="21">
        <f t="shared" si="506"/>
        <v>340800</v>
      </c>
      <c r="DI39" s="21">
        <f t="shared" si="506"/>
        <v>345600</v>
      </c>
      <c r="DJ39" s="21">
        <f t="shared" si="506"/>
        <v>350400</v>
      </c>
      <c r="DK39" s="21">
        <f t="shared" si="506"/>
        <v>350400</v>
      </c>
      <c r="DL39" s="21">
        <f t="shared" si="506"/>
        <v>355200</v>
      </c>
      <c r="DM39" s="21">
        <f t="shared" si="506"/>
        <v>360000</v>
      </c>
      <c r="DN39" s="21">
        <f t="shared" si="506"/>
        <v>364800</v>
      </c>
      <c r="DO39" s="21">
        <f t="shared" si="506"/>
        <v>369600</v>
      </c>
      <c r="DP39" s="21">
        <f t="shared" si="506"/>
        <v>374400</v>
      </c>
      <c r="DQ39" s="21">
        <f t="shared" si="506"/>
        <v>379200</v>
      </c>
      <c r="DR39" s="21">
        <f t="shared" si="506"/>
        <v>379200</v>
      </c>
      <c r="DS39" s="21">
        <f t="shared" si="506"/>
        <v>384000</v>
      </c>
      <c r="DT39" s="21">
        <f t="shared" si="506"/>
        <v>388800</v>
      </c>
      <c r="DU39" s="21">
        <f t="shared" si="506"/>
        <v>393600</v>
      </c>
      <c r="DV39" s="21">
        <f t="shared" si="506"/>
        <v>398400</v>
      </c>
      <c r="DW39" s="21">
        <f t="shared" si="506"/>
        <v>403200</v>
      </c>
      <c r="DX39" s="21">
        <f t="shared" si="506"/>
        <v>408000</v>
      </c>
    </row>
    <row r="40" spans="2:128" x14ac:dyDescent="0.2">
      <c r="B40" s="1" t="s">
        <v>27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>
        <f>HLOOKUP(AD21,9:10,2,0)</f>
        <v>32000</v>
      </c>
      <c r="AE40" s="21"/>
      <c r="AF40" s="21"/>
      <c r="AG40" s="21"/>
      <c r="AH40" s="21"/>
      <c r="AI40" s="21"/>
      <c r="AJ40" s="21"/>
      <c r="AK40" s="21">
        <f>HLOOKUP(AK21,9:10,2,0)</f>
        <v>32000</v>
      </c>
      <c r="AL40" s="21"/>
      <c r="AM40" s="21"/>
      <c r="AN40" s="21"/>
      <c r="AO40" s="21"/>
      <c r="AP40" s="21"/>
      <c r="AQ40" s="21"/>
      <c r="AR40" s="21">
        <f>HLOOKUP(AR21,9:10,2,0)</f>
        <v>32000</v>
      </c>
      <c r="AS40" s="21"/>
      <c r="AT40" s="21"/>
      <c r="AU40" s="21"/>
      <c r="AV40" s="21"/>
      <c r="AW40" s="21"/>
      <c r="AX40" s="21"/>
      <c r="AY40" s="21">
        <f>HLOOKUP(AY21,9:10,2,0)</f>
        <v>32000</v>
      </c>
      <c r="AZ40" s="21"/>
      <c r="BA40" s="21"/>
      <c r="BB40" s="21"/>
      <c r="BC40" s="21"/>
      <c r="BD40" s="21"/>
      <c r="BE40" s="21"/>
      <c r="BF40" s="21">
        <f>HLOOKUP(BF21,9:10,2,0)</f>
        <v>24000</v>
      </c>
      <c r="BG40" s="21"/>
      <c r="BH40" s="21"/>
      <c r="BI40" s="21"/>
      <c r="BJ40" s="21"/>
      <c r="BK40" s="21"/>
      <c r="BL40" s="21"/>
      <c r="BM40" s="21">
        <f>HLOOKUP(BM21,9:10,2,0)</f>
        <v>24000</v>
      </c>
      <c r="BN40" s="21"/>
      <c r="BO40" s="21"/>
      <c r="BP40" s="21"/>
      <c r="BQ40" s="21"/>
      <c r="BR40" s="21"/>
      <c r="BS40" s="21"/>
      <c r="BT40" s="21">
        <f>HLOOKUP(BT21,9:10,2,0)</f>
        <v>24000</v>
      </c>
      <c r="BU40" s="21"/>
      <c r="BV40" s="21"/>
      <c r="BW40" s="21"/>
      <c r="BX40" s="21"/>
      <c r="BY40" s="21"/>
      <c r="BZ40" s="21"/>
      <c r="CA40" s="21">
        <f>HLOOKUP(CA21,9:10,2,0)</f>
        <v>24000</v>
      </c>
      <c r="CB40" s="21"/>
      <c r="CC40" s="21"/>
      <c r="CD40" s="21"/>
      <c r="CE40" s="21"/>
      <c r="CF40" s="21"/>
      <c r="CG40" s="21"/>
      <c r="CH40" s="21">
        <f>HLOOKUP(CH21,9:10,2,0)</f>
        <v>18000</v>
      </c>
      <c r="CI40" s="21"/>
      <c r="CJ40" s="21"/>
      <c r="CK40" s="21"/>
      <c r="CL40" s="21"/>
      <c r="CM40" s="21"/>
      <c r="CN40" s="21"/>
      <c r="CO40" s="21">
        <f>HLOOKUP(CO21,9:10,2,0)</f>
        <v>18000</v>
      </c>
      <c r="CP40" s="21"/>
      <c r="CQ40" s="21"/>
      <c r="CR40" s="21"/>
      <c r="CS40" s="21"/>
      <c r="CT40" s="21"/>
      <c r="CU40" s="21"/>
      <c r="CV40" s="21">
        <f>HLOOKUP(CV21,9:10,2,0)</f>
        <v>18000</v>
      </c>
      <c r="CW40" s="21"/>
      <c r="CX40" s="21"/>
      <c r="CY40" s="21"/>
      <c r="CZ40" s="21"/>
      <c r="DA40" s="21"/>
      <c r="DB40" s="21"/>
      <c r="DC40" s="21">
        <f>HLOOKUP(DC21,9:10,2,0)</f>
        <v>18000</v>
      </c>
      <c r="DD40" s="21"/>
      <c r="DE40" s="21"/>
      <c r="DF40" s="21"/>
      <c r="DG40" s="21"/>
      <c r="DH40" s="21"/>
      <c r="DI40" s="21"/>
      <c r="DJ40" s="21">
        <f>HLOOKUP(DJ21,9:10,2,0)</f>
        <v>8000</v>
      </c>
      <c r="DK40" s="21"/>
      <c r="DL40" s="21"/>
      <c r="DM40" s="21"/>
      <c r="DN40" s="21"/>
      <c r="DO40" s="21"/>
      <c r="DP40" s="21"/>
      <c r="DQ40" s="21">
        <f>HLOOKUP(DQ21,9:10,2,0)</f>
        <v>8000</v>
      </c>
      <c r="DR40" s="21"/>
      <c r="DS40" s="21"/>
      <c r="DT40" s="21"/>
      <c r="DU40" s="21"/>
      <c r="DV40" s="21"/>
      <c r="DW40" s="21"/>
      <c r="DX40" s="21">
        <f>HLOOKUP(DX21,9:10,2,0)</f>
        <v>8000</v>
      </c>
    </row>
    <row r="41" spans="2:128" x14ac:dyDescent="0.2">
      <c r="B41" s="1" t="s">
        <v>28</v>
      </c>
      <c r="D41" s="21">
        <f>D40+C41</f>
        <v>0</v>
      </c>
      <c r="E41" s="21">
        <f t="shared" ref="E41:BP41" si="507">E40+D41</f>
        <v>0</v>
      </c>
      <c r="F41" s="21">
        <f t="shared" si="507"/>
        <v>0</v>
      </c>
      <c r="G41" s="21">
        <f t="shared" si="507"/>
        <v>0</v>
      </c>
      <c r="H41" s="21">
        <f t="shared" si="507"/>
        <v>0</v>
      </c>
      <c r="I41" s="21">
        <f t="shared" si="507"/>
        <v>0</v>
      </c>
      <c r="J41" s="21">
        <f t="shared" si="507"/>
        <v>0</v>
      </c>
      <c r="K41" s="21">
        <f t="shared" si="507"/>
        <v>0</v>
      </c>
      <c r="L41" s="21">
        <f t="shared" si="507"/>
        <v>0</v>
      </c>
      <c r="M41" s="21">
        <f t="shared" si="507"/>
        <v>0</v>
      </c>
      <c r="N41" s="21">
        <f t="shared" si="507"/>
        <v>0</v>
      </c>
      <c r="O41" s="21">
        <f t="shared" si="507"/>
        <v>0</v>
      </c>
      <c r="P41" s="21">
        <f t="shared" si="507"/>
        <v>0</v>
      </c>
      <c r="Q41" s="21">
        <f t="shared" si="507"/>
        <v>0</v>
      </c>
      <c r="R41" s="21">
        <f t="shared" si="507"/>
        <v>0</v>
      </c>
      <c r="S41" s="21">
        <f t="shared" si="507"/>
        <v>0</v>
      </c>
      <c r="T41" s="21">
        <f t="shared" si="507"/>
        <v>0</v>
      </c>
      <c r="U41" s="21">
        <f t="shared" si="507"/>
        <v>0</v>
      </c>
      <c r="V41" s="21">
        <f t="shared" si="507"/>
        <v>0</v>
      </c>
      <c r="W41" s="21">
        <f t="shared" si="507"/>
        <v>0</v>
      </c>
      <c r="X41" s="21">
        <f t="shared" si="507"/>
        <v>0</v>
      </c>
      <c r="Y41" s="21">
        <f t="shared" si="507"/>
        <v>0</v>
      </c>
      <c r="Z41" s="21">
        <f t="shared" si="507"/>
        <v>0</v>
      </c>
      <c r="AA41" s="21">
        <f t="shared" si="507"/>
        <v>0</v>
      </c>
      <c r="AB41" s="21">
        <f t="shared" si="507"/>
        <v>0</v>
      </c>
      <c r="AC41" s="21">
        <f t="shared" si="507"/>
        <v>0</v>
      </c>
      <c r="AD41" s="21">
        <f t="shared" si="507"/>
        <v>32000</v>
      </c>
      <c r="AE41" s="21">
        <f t="shared" si="507"/>
        <v>32000</v>
      </c>
      <c r="AF41" s="21">
        <f t="shared" si="507"/>
        <v>32000</v>
      </c>
      <c r="AG41" s="21">
        <f t="shared" si="507"/>
        <v>32000</v>
      </c>
      <c r="AH41" s="21">
        <f t="shared" si="507"/>
        <v>32000</v>
      </c>
      <c r="AI41" s="21">
        <f t="shared" si="507"/>
        <v>32000</v>
      </c>
      <c r="AJ41" s="21">
        <f t="shared" si="507"/>
        <v>32000</v>
      </c>
      <c r="AK41" s="21">
        <f t="shared" si="507"/>
        <v>64000</v>
      </c>
      <c r="AL41" s="21">
        <f t="shared" si="507"/>
        <v>64000</v>
      </c>
      <c r="AM41" s="21">
        <f t="shared" si="507"/>
        <v>64000</v>
      </c>
      <c r="AN41" s="21">
        <f t="shared" si="507"/>
        <v>64000</v>
      </c>
      <c r="AO41" s="21">
        <f t="shared" si="507"/>
        <v>64000</v>
      </c>
      <c r="AP41" s="21">
        <f t="shared" si="507"/>
        <v>64000</v>
      </c>
      <c r="AQ41" s="21">
        <f t="shared" si="507"/>
        <v>64000</v>
      </c>
      <c r="AR41" s="21">
        <f t="shared" si="507"/>
        <v>96000</v>
      </c>
      <c r="AS41" s="21">
        <f t="shared" si="507"/>
        <v>96000</v>
      </c>
      <c r="AT41" s="21">
        <f t="shared" si="507"/>
        <v>96000</v>
      </c>
      <c r="AU41" s="21">
        <f t="shared" si="507"/>
        <v>96000</v>
      </c>
      <c r="AV41" s="21">
        <f t="shared" si="507"/>
        <v>96000</v>
      </c>
      <c r="AW41" s="21">
        <f t="shared" si="507"/>
        <v>96000</v>
      </c>
      <c r="AX41" s="21">
        <f t="shared" si="507"/>
        <v>96000</v>
      </c>
      <c r="AY41" s="21">
        <f t="shared" si="507"/>
        <v>128000</v>
      </c>
      <c r="AZ41" s="21">
        <f t="shared" si="507"/>
        <v>128000</v>
      </c>
      <c r="BA41" s="21">
        <f t="shared" si="507"/>
        <v>128000</v>
      </c>
      <c r="BB41" s="21">
        <f t="shared" si="507"/>
        <v>128000</v>
      </c>
      <c r="BC41" s="21">
        <f t="shared" si="507"/>
        <v>128000</v>
      </c>
      <c r="BD41" s="21">
        <f t="shared" si="507"/>
        <v>128000</v>
      </c>
      <c r="BE41" s="21">
        <f t="shared" si="507"/>
        <v>128000</v>
      </c>
      <c r="BF41" s="21">
        <f t="shared" si="507"/>
        <v>152000</v>
      </c>
      <c r="BG41" s="21">
        <f t="shared" si="507"/>
        <v>152000</v>
      </c>
      <c r="BH41" s="21">
        <f t="shared" si="507"/>
        <v>152000</v>
      </c>
      <c r="BI41" s="21">
        <f t="shared" si="507"/>
        <v>152000</v>
      </c>
      <c r="BJ41" s="21">
        <f t="shared" si="507"/>
        <v>152000</v>
      </c>
      <c r="BK41" s="21">
        <f t="shared" si="507"/>
        <v>152000</v>
      </c>
      <c r="BL41" s="21">
        <f t="shared" si="507"/>
        <v>152000</v>
      </c>
      <c r="BM41" s="21">
        <f t="shared" si="507"/>
        <v>176000</v>
      </c>
      <c r="BN41" s="21">
        <f t="shared" si="507"/>
        <v>176000</v>
      </c>
      <c r="BO41" s="21">
        <f t="shared" si="507"/>
        <v>176000</v>
      </c>
      <c r="BP41" s="21">
        <f t="shared" si="507"/>
        <v>176000</v>
      </c>
      <c r="BQ41" s="21">
        <f t="shared" ref="BQ41:DX41" si="508">BQ40+BP41</f>
        <v>176000</v>
      </c>
      <c r="BR41" s="21">
        <f t="shared" si="508"/>
        <v>176000</v>
      </c>
      <c r="BS41" s="21">
        <f t="shared" si="508"/>
        <v>176000</v>
      </c>
      <c r="BT41" s="21">
        <f t="shared" si="508"/>
        <v>200000</v>
      </c>
      <c r="BU41" s="21">
        <f t="shared" si="508"/>
        <v>200000</v>
      </c>
      <c r="BV41" s="21">
        <f t="shared" si="508"/>
        <v>200000</v>
      </c>
      <c r="BW41" s="21">
        <f t="shared" si="508"/>
        <v>200000</v>
      </c>
      <c r="BX41" s="21">
        <f t="shared" si="508"/>
        <v>200000</v>
      </c>
      <c r="BY41" s="21">
        <f t="shared" si="508"/>
        <v>200000</v>
      </c>
      <c r="BZ41" s="21">
        <f t="shared" si="508"/>
        <v>200000</v>
      </c>
      <c r="CA41" s="21">
        <f t="shared" si="508"/>
        <v>224000</v>
      </c>
      <c r="CB41" s="21">
        <f t="shared" si="508"/>
        <v>224000</v>
      </c>
      <c r="CC41" s="21">
        <f t="shared" si="508"/>
        <v>224000</v>
      </c>
      <c r="CD41" s="21">
        <f t="shared" si="508"/>
        <v>224000</v>
      </c>
      <c r="CE41" s="21">
        <f t="shared" si="508"/>
        <v>224000</v>
      </c>
      <c r="CF41" s="21">
        <f t="shared" si="508"/>
        <v>224000</v>
      </c>
      <c r="CG41" s="21">
        <f t="shared" si="508"/>
        <v>224000</v>
      </c>
      <c r="CH41" s="21">
        <f t="shared" si="508"/>
        <v>242000</v>
      </c>
      <c r="CI41" s="21">
        <f t="shared" si="508"/>
        <v>242000</v>
      </c>
      <c r="CJ41" s="21">
        <f t="shared" si="508"/>
        <v>242000</v>
      </c>
      <c r="CK41" s="21">
        <f t="shared" si="508"/>
        <v>242000</v>
      </c>
      <c r="CL41" s="21">
        <f t="shared" si="508"/>
        <v>242000</v>
      </c>
      <c r="CM41" s="21">
        <f t="shared" si="508"/>
        <v>242000</v>
      </c>
      <c r="CN41" s="21">
        <f t="shared" si="508"/>
        <v>242000</v>
      </c>
      <c r="CO41" s="21">
        <f t="shared" si="508"/>
        <v>260000</v>
      </c>
      <c r="CP41" s="21">
        <f t="shared" si="508"/>
        <v>260000</v>
      </c>
      <c r="CQ41" s="21">
        <f t="shared" si="508"/>
        <v>260000</v>
      </c>
      <c r="CR41" s="21">
        <f t="shared" si="508"/>
        <v>260000</v>
      </c>
      <c r="CS41" s="21">
        <f t="shared" si="508"/>
        <v>260000</v>
      </c>
      <c r="CT41" s="21">
        <f t="shared" si="508"/>
        <v>260000</v>
      </c>
      <c r="CU41" s="21">
        <f t="shared" si="508"/>
        <v>260000</v>
      </c>
      <c r="CV41" s="21">
        <f t="shared" si="508"/>
        <v>278000</v>
      </c>
      <c r="CW41" s="21">
        <f t="shared" si="508"/>
        <v>278000</v>
      </c>
      <c r="CX41" s="21">
        <f t="shared" si="508"/>
        <v>278000</v>
      </c>
      <c r="CY41" s="21">
        <f t="shared" si="508"/>
        <v>278000</v>
      </c>
      <c r="CZ41" s="21">
        <f t="shared" si="508"/>
        <v>278000</v>
      </c>
      <c r="DA41" s="21">
        <f t="shared" si="508"/>
        <v>278000</v>
      </c>
      <c r="DB41" s="21">
        <f t="shared" si="508"/>
        <v>278000</v>
      </c>
      <c r="DC41" s="21">
        <f t="shared" si="508"/>
        <v>296000</v>
      </c>
      <c r="DD41" s="21">
        <f t="shared" si="508"/>
        <v>296000</v>
      </c>
      <c r="DE41" s="21">
        <f t="shared" si="508"/>
        <v>296000</v>
      </c>
      <c r="DF41" s="21">
        <f t="shared" si="508"/>
        <v>296000</v>
      </c>
      <c r="DG41" s="21">
        <f t="shared" si="508"/>
        <v>296000</v>
      </c>
      <c r="DH41" s="21">
        <f t="shared" si="508"/>
        <v>296000</v>
      </c>
      <c r="DI41" s="21">
        <f t="shared" si="508"/>
        <v>296000</v>
      </c>
      <c r="DJ41" s="21">
        <f t="shared" si="508"/>
        <v>304000</v>
      </c>
      <c r="DK41" s="21">
        <f t="shared" si="508"/>
        <v>304000</v>
      </c>
      <c r="DL41" s="21">
        <f t="shared" si="508"/>
        <v>304000</v>
      </c>
      <c r="DM41" s="21">
        <f t="shared" si="508"/>
        <v>304000</v>
      </c>
      <c r="DN41" s="21">
        <f t="shared" si="508"/>
        <v>304000</v>
      </c>
      <c r="DO41" s="21">
        <f t="shared" si="508"/>
        <v>304000</v>
      </c>
      <c r="DP41" s="21">
        <f t="shared" si="508"/>
        <v>304000</v>
      </c>
      <c r="DQ41" s="21">
        <f t="shared" si="508"/>
        <v>312000</v>
      </c>
      <c r="DR41" s="21">
        <f t="shared" si="508"/>
        <v>312000</v>
      </c>
      <c r="DS41" s="21">
        <f t="shared" si="508"/>
        <v>312000</v>
      </c>
      <c r="DT41" s="21">
        <f t="shared" si="508"/>
        <v>312000</v>
      </c>
      <c r="DU41" s="21">
        <f t="shared" si="508"/>
        <v>312000</v>
      </c>
      <c r="DV41" s="21">
        <f t="shared" si="508"/>
        <v>312000</v>
      </c>
      <c r="DW41" s="21">
        <f t="shared" si="508"/>
        <v>312000</v>
      </c>
      <c r="DX41" s="21">
        <f t="shared" si="508"/>
        <v>320000</v>
      </c>
    </row>
    <row r="42" spans="2:128" x14ac:dyDescent="0.2">
      <c r="B42" s="1" t="s">
        <v>29</v>
      </c>
      <c r="D42" s="21">
        <f>D38</f>
        <v>0</v>
      </c>
      <c r="E42" s="21">
        <f t="shared" ref="E42:O42" si="509">E38</f>
        <v>0</v>
      </c>
      <c r="F42" s="21">
        <f t="shared" si="509"/>
        <v>0</v>
      </c>
      <c r="G42" s="21">
        <f>G38</f>
        <v>600</v>
      </c>
      <c r="H42" s="21">
        <f t="shared" si="509"/>
        <v>624</v>
      </c>
      <c r="I42" s="21">
        <f t="shared" si="509"/>
        <v>636</v>
      </c>
      <c r="J42" s="21">
        <f t="shared" si="509"/>
        <v>0</v>
      </c>
      <c r="K42" s="21">
        <f t="shared" si="509"/>
        <v>1260</v>
      </c>
      <c r="L42" s="21">
        <f t="shared" si="509"/>
        <v>1307.9999999999998</v>
      </c>
      <c r="M42" s="21">
        <f t="shared" si="509"/>
        <v>1344</v>
      </c>
      <c r="N42" s="21">
        <f t="shared" si="509"/>
        <v>1980.0000000000002</v>
      </c>
      <c r="O42" s="21">
        <f t="shared" si="509"/>
        <v>2052</v>
      </c>
      <c r="P42" s="21">
        <f t="shared" ref="P42:CA42" si="510">P38</f>
        <v>2112</v>
      </c>
      <c r="Q42" s="21">
        <f t="shared" si="510"/>
        <v>0</v>
      </c>
      <c r="R42" s="21">
        <f t="shared" si="510"/>
        <v>2772</v>
      </c>
      <c r="S42" s="21">
        <f t="shared" si="510"/>
        <v>2855.9999999999995</v>
      </c>
      <c r="T42" s="21">
        <f t="shared" si="510"/>
        <v>2940</v>
      </c>
      <c r="U42" s="21">
        <f t="shared" si="510"/>
        <v>3024.0000000000005</v>
      </c>
      <c r="V42" s="21">
        <f t="shared" si="510"/>
        <v>3095.9999999999995</v>
      </c>
      <c r="W42" s="21">
        <f t="shared" si="510"/>
        <v>3192</v>
      </c>
      <c r="X42" s="21">
        <f t="shared" si="510"/>
        <v>0</v>
      </c>
      <c r="Y42" s="21">
        <f t="shared" si="510"/>
        <v>3276</v>
      </c>
      <c r="Z42" s="21">
        <f t="shared" si="510"/>
        <v>3348</v>
      </c>
      <c r="AA42" s="21">
        <f t="shared" si="510"/>
        <v>3432</v>
      </c>
      <c r="AB42" s="21">
        <f t="shared" si="510"/>
        <v>3528.0000000000009</v>
      </c>
      <c r="AC42" s="21">
        <f t="shared" si="510"/>
        <v>0</v>
      </c>
      <c r="AD42" s="21">
        <f t="shared" si="510"/>
        <v>0</v>
      </c>
      <c r="AE42" s="21">
        <f t="shared" si="510"/>
        <v>0</v>
      </c>
      <c r="AF42" s="21">
        <f t="shared" si="510"/>
        <v>3600</v>
      </c>
      <c r="AG42" s="21">
        <f t="shared" si="510"/>
        <v>3672</v>
      </c>
      <c r="AH42" s="21">
        <f t="shared" si="510"/>
        <v>3768</v>
      </c>
      <c r="AI42" s="21">
        <f t="shared" si="510"/>
        <v>0</v>
      </c>
      <c r="AJ42" s="21">
        <f t="shared" si="510"/>
        <v>0</v>
      </c>
      <c r="AK42" s="21">
        <f t="shared" si="510"/>
        <v>0</v>
      </c>
      <c r="AL42" s="21">
        <f t="shared" si="510"/>
        <v>0</v>
      </c>
      <c r="AM42" s="21">
        <f t="shared" si="510"/>
        <v>0</v>
      </c>
      <c r="AN42" s="21">
        <f t="shared" si="510"/>
        <v>0</v>
      </c>
      <c r="AO42" s="21">
        <f t="shared" si="510"/>
        <v>0</v>
      </c>
      <c r="AP42" s="21">
        <f t="shared" si="510"/>
        <v>3852</v>
      </c>
      <c r="AQ42" s="21">
        <f t="shared" si="510"/>
        <v>3924</v>
      </c>
      <c r="AR42" s="21">
        <f t="shared" si="510"/>
        <v>4007.9999999999995</v>
      </c>
      <c r="AS42" s="21">
        <f t="shared" si="510"/>
        <v>0</v>
      </c>
      <c r="AT42" s="21">
        <f t="shared" si="510"/>
        <v>4104</v>
      </c>
      <c r="AU42" s="21">
        <f t="shared" si="510"/>
        <v>4176</v>
      </c>
      <c r="AV42" s="21">
        <f t="shared" si="510"/>
        <v>4260.0000000000009</v>
      </c>
      <c r="AW42" s="21">
        <f t="shared" si="510"/>
        <v>4344</v>
      </c>
      <c r="AX42" s="21">
        <f t="shared" si="510"/>
        <v>4428</v>
      </c>
      <c r="AY42" s="21">
        <f t="shared" si="510"/>
        <v>4488</v>
      </c>
      <c r="AZ42" s="21">
        <f t="shared" si="510"/>
        <v>0</v>
      </c>
      <c r="BA42" s="21">
        <f t="shared" si="510"/>
        <v>4548</v>
      </c>
      <c r="BB42" s="21">
        <f t="shared" si="510"/>
        <v>4620</v>
      </c>
      <c r="BC42" s="21">
        <f t="shared" si="510"/>
        <v>4656</v>
      </c>
      <c r="BD42" s="21">
        <f t="shared" si="510"/>
        <v>4692</v>
      </c>
      <c r="BE42" s="21">
        <f t="shared" si="510"/>
        <v>4740</v>
      </c>
      <c r="BF42" s="21">
        <f t="shared" si="510"/>
        <v>4764</v>
      </c>
      <c r="BG42" s="21">
        <f t="shared" si="510"/>
        <v>0</v>
      </c>
      <c r="BH42" s="21">
        <f t="shared" si="510"/>
        <v>4776</v>
      </c>
      <c r="BI42" s="21">
        <f t="shared" si="510"/>
        <v>4800</v>
      </c>
      <c r="BJ42" s="21">
        <f t="shared" si="510"/>
        <v>4800</v>
      </c>
      <c r="BK42" s="21">
        <f t="shared" si="510"/>
        <v>4800</v>
      </c>
      <c r="BL42" s="21">
        <f t="shared" si="510"/>
        <v>4800</v>
      </c>
      <c r="BM42" s="21">
        <f>BM38</f>
        <v>4800</v>
      </c>
      <c r="BN42" s="21">
        <f t="shared" si="510"/>
        <v>0</v>
      </c>
      <c r="BO42" s="21">
        <f t="shared" si="510"/>
        <v>4800</v>
      </c>
      <c r="BP42" s="21">
        <f t="shared" si="510"/>
        <v>4800</v>
      </c>
      <c r="BQ42" s="21">
        <f t="shared" si="510"/>
        <v>4800</v>
      </c>
      <c r="BR42" s="21">
        <f t="shared" si="510"/>
        <v>4800</v>
      </c>
      <c r="BS42" s="21">
        <f t="shared" si="510"/>
        <v>4800</v>
      </c>
      <c r="BT42" s="21">
        <f t="shared" si="510"/>
        <v>4800</v>
      </c>
      <c r="BU42" s="21">
        <f t="shared" si="510"/>
        <v>0</v>
      </c>
      <c r="BV42" s="21">
        <f t="shared" si="510"/>
        <v>4800</v>
      </c>
      <c r="BW42" s="21">
        <f t="shared" si="510"/>
        <v>4800</v>
      </c>
      <c r="BX42" s="21">
        <f t="shared" si="510"/>
        <v>4800</v>
      </c>
      <c r="BY42" s="21">
        <f t="shared" si="510"/>
        <v>4800</v>
      </c>
      <c r="BZ42" s="21">
        <f t="shared" si="510"/>
        <v>4800</v>
      </c>
      <c r="CA42" s="21">
        <f t="shared" si="510"/>
        <v>4800</v>
      </c>
      <c r="CB42" s="21">
        <f t="shared" ref="CB42:DX42" si="511">CB38</f>
        <v>0</v>
      </c>
      <c r="CC42" s="21">
        <f t="shared" si="511"/>
        <v>4800</v>
      </c>
      <c r="CD42" s="21">
        <f t="shared" si="511"/>
        <v>4800</v>
      </c>
      <c r="CE42" s="21">
        <f t="shared" si="511"/>
        <v>4800</v>
      </c>
      <c r="CF42" s="21">
        <f t="shared" si="511"/>
        <v>4800</v>
      </c>
      <c r="CG42" s="21">
        <f t="shared" si="511"/>
        <v>4800</v>
      </c>
      <c r="CH42" s="21">
        <f t="shared" si="511"/>
        <v>4800</v>
      </c>
      <c r="CI42" s="21">
        <f t="shared" si="511"/>
        <v>0</v>
      </c>
      <c r="CJ42" s="21">
        <f t="shared" si="511"/>
        <v>4800</v>
      </c>
      <c r="CK42" s="21">
        <f t="shared" si="511"/>
        <v>4800</v>
      </c>
      <c r="CL42" s="21">
        <f t="shared" si="511"/>
        <v>4800</v>
      </c>
      <c r="CM42" s="21">
        <f t="shared" si="511"/>
        <v>4800</v>
      </c>
      <c r="CN42" s="21">
        <f t="shared" si="511"/>
        <v>4800</v>
      </c>
      <c r="CO42" s="21">
        <f t="shared" si="511"/>
        <v>4800</v>
      </c>
      <c r="CP42" s="21">
        <f t="shared" si="511"/>
        <v>0</v>
      </c>
      <c r="CQ42" s="21">
        <f t="shared" si="511"/>
        <v>4800</v>
      </c>
      <c r="CR42" s="21">
        <f t="shared" si="511"/>
        <v>4800</v>
      </c>
      <c r="CS42" s="21">
        <f t="shared" si="511"/>
        <v>4800</v>
      </c>
      <c r="CT42" s="21">
        <f t="shared" si="511"/>
        <v>4800</v>
      </c>
      <c r="CU42" s="21">
        <f t="shared" si="511"/>
        <v>4800</v>
      </c>
      <c r="CV42" s="21">
        <f t="shared" si="511"/>
        <v>4800</v>
      </c>
      <c r="CW42" s="21">
        <f t="shared" si="511"/>
        <v>0</v>
      </c>
      <c r="CX42" s="21">
        <f t="shared" si="511"/>
        <v>4800</v>
      </c>
      <c r="CY42" s="21">
        <f t="shared" si="511"/>
        <v>4800</v>
      </c>
      <c r="CZ42" s="21">
        <f t="shared" si="511"/>
        <v>4800</v>
      </c>
      <c r="DA42" s="21">
        <f t="shared" si="511"/>
        <v>4800</v>
      </c>
      <c r="DB42" s="21">
        <f t="shared" si="511"/>
        <v>4800</v>
      </c>
      <c r="DC42" s="21">
        <f t="shared" si="511"/>
        <v>4800</v>
      </c>
      <c r="DD42" s="21">
        <f t="shared" si="511"/>
        <v>0</v>
      </c>
      <c r="DE42" s="21">
        <f t="shared" si="511"/>
        <v>4800</v>
      </c>
      <c r="DF42" s="21">
        <f t="shared" si="511"/>
        <v>4800</v>
      </c>
      <c r="DG42" s="21">
        <f t="shared" si="511"/>
        <v>4800</v>
      </c>
      <c r="DH42" s="21">
        <f t="shared" si="511"/>
        <v>4800</v>
      </c>
      <c r="DI42" s="21">
        <f t="shared" si="511"/>
        <v>4800</v>
      </c>
      <c r="DJ42" s="21">
        <f t="shared" si="511"/>
        <v>4800</v>
      </c>
      <c r="DK42" s="21">
        <f t="shared" si="511"/>
        <v>0</v>
      </c>
      <c r="DL42" s="21">
        <f t="shared" si="511"/>
        <v>4800</v>
      </c>
      <c r="DM42" s="21">
        <f t="shared" si="511"/>
        <v>4800</v>
      </c>
      <c r="DN42" s="21">
        <f t="shared" si="511"/>
        <v>4800</v>
      </c>
      <c r="DO42" s="21">
        <f t="shared" si="511"/>
        <v>4800</v>
      </c>
      <c r="DP42" s="21">
        <f t="shared" si="511"/>
        <v>4800</v>
      </c>
      <c r="DQ42" s="21">
        <f t="shared" si="511"/>
        <v>4800</v>
      </c>
      <c r="DR42" s="21">
        <f t="shared" si="511"/>
        <v>0</v>
      </c>
      <c r="DS42" s="21">
        <f t="shared" si="511"/>
        <v>4800</v>
      </c>
      <c r="DT42" s="21">
        <f t="shared" si="511"/>
        <v>4800</v>
      </c>
      <c r="DU42" s="21">
        <f t="shared" si="511"/>
        <v>4800</v>
      </c>
      <c r="DV42" s="21">
        <f t="shared" si="511"/>
        <v>4800</v>
      </c>
      <c r="DW42" s="21">
        <f t="shared" si="511"/>
        <v>4800</v>
      </c>
      <c r="DX42" s="21">
        <f t="shared" si="511"/>
        <v>4800</v>
      </c>
    </row>
    <row r="43" spans="2:128" x14ac:dyDescent="0.2">
      <c r="B43" s="1" t="s">
        <v>30</v>
      </c>
      <c r="D43" s="21">
        <f>D42+C43</f>
        <v>0</v>
      </c>
      <c r="E43" s="21">
        <f t="shared" ref="E43:O43" si="512">E42+D43</f>
        <v>0</v>
      </c>
      <c r="F43" s="21">
        <f t="shared" si="512"/>
        <v>0</v>
      </c>
      <c r="G43" s="21">
        <f t="shared" si="512"/>
        <v>600</v>
      </c>
      <c r="H43" s="21">
        <f t="shared" si="512"/>
        <v>1224</v>
      </c>
      <c r="I43" s="21">
        <f t="shared" si="512"/>
        <v>1860</v>
      </c>
      <c r="J43" s="21">
        <f t="shared" si="512"/>
        <v>1860</v>
      </c>
      <c r="K43" s="21">
        <f t="shared" si="512"/>
        <v>3120</v>
      </c>
      <c r="L43" s="21">
        <f t="shared" si="512"/>
        <v>4428</v>
      </c>
      <c r="M43" s="21">
        <f t="shared" si="512"/>
        <v>5772</v>
      </c>
      <c r="N43" s="21">
        <f t="shared" si="512"/>
        <v>7752</v>
      </c>
      <c r="O43" s="21">
        <f t="shared" si="512"/>
        <v>9804</v>
      </c>
      <c r="P43" s="21">
        <f t="shared" ref="P43" si="513">P42+O43</f>
        <v>11916</v>
      </c>
      <c r="Q43" s="21">
        <f t="shared" ref="Q43" si="514">Q42+P43</f>
        <v>11916</v>
      </c>
      <c r="R43" s="21">
        <f t="shared" ref="R43" si="515">R42+Q43</f>
        <v>14688</v>
      </c>
      <c r="S43" s="21">
        <f t="shared" ref="S43" si="516">S42+R43</f>
        <v>17544</v>
      </c>
      <c r="T43" s="21">
        <f t="shared" ref="T43" si="517">T42+S43</f>
        <v>20484</v>
      </c>
      <c r="U43" s="21">
        <f t="shared" ref="U43" si="518">U42+T43</f>
        <v>23508</v>
      </c>
      <c r="V43" s="21">
        <f t="shared" ref="V43" si="519">V42+U43</f>
        <v>26604</v>
      </c>
      <c r="W43" s="21">
        <f t="shared" ref="W43" si="520">W42+V43</f>
        <v>29796</v>
      </c>
      <c r="X43" s="21">
        <f t="shared" ref="X43" si="521">X42+W43</f>
        <v>29796</v>
      </c>
      <c r="Y43" s="21">
        <f t="shared" ref="Y43:Z43" si="522">Y42+X43</f>
        <v>33072</v>
      </c>
      <c r="Z43" s="21">
        <f t="shared" si="522"/>
        <v>36420</v>
      </c>
      <c r="AA43" s="21">
        <f t="shared" ref="AA43" si="523">AA42+Z43</f>
        <v>39852</v>
      </c>
      <c r="AB43" s="21">
        <f t="shared" ref="AB43" si="524">AB42+AA43</f>
        <v>43380</v>
      </c>
      <c r="AC43" s="21">
        <f t="shared" ref="AC43" si="525">AC42+AB43</f>
        <v>43380</v>
      </c>
      <c r="AD43" s="21">
        <f t="shared" ref="AD43" si="526">AD42+AC43</f>
        <v>43380</v>
      </c>
      <c r="AE43" s="21">
        <f t="shared" ref="AE43" si="527">AE42+AD43</f>
        <v>43380</v>
      </c>
      <c r="AF43" s="21">
        <f t="shared" ref="AF43" si="528">AF42+AE43</f>
        <v>46980</v>
      </c>
      <c r="AG43" s="21">
        <f t="shared" ref="AG43" si="529">AG42+AF43</f>
        <v>50652</v>
      </c>
      <c r="AH43" s="21">
        <f t="shared" ref="AH43" si="530">AH42+AG43</f>
        <v>54420</v>
      </c>
      <c r="AI43" s="21">
        <f t="shared" ref="AI43" si="531">AI42+AH43</f>
        <v>54420</v>
      </c>
      <c r="AJ43" s="21">
        <f t="shared" ref="AJ43:AK43" si="532">AJ42+AI43</f>
        <v>54420</v>
      </c>
      <c r="AK43" s="21">
        <f t="shared" si="532"/>
        <v>54420</v>
      </c>
      <c r="AL43" s="21">
        <f t="shared" ref="AL43" si="533">AL42+AK43</f>
        <v>54420</v>
      </c>
      <c r="AM43" s="21">
        <f t="shared" ref="AM43" si="534">AM42+AL43</f>
        <v>54420</v>
      </c>
      <c r="AN43" s="21">
        <f t="shared" ref="AN43" si="535">AN42+AM43</f>
        <v>54420</v>
      </c>
      <c r="AO43" s="21">
        <f t="shared" ref="AO43" si="536">AO42+AN43</f>
        <v>54420</v>
      </c>
      <c r="AP43" s="21">
        <f t="shared" ref="AP43" si="537">AP42+AO43</f>
        <v>58272</v>
      </c>
      <c r="AQ43" s="21">
        <f t="shared" ref="AQ43" si="538">AQ42+AP43</f>
        <v>62196</v>
      </c>
      <c r="AR43" s="21">
        <f t="shared" ref="AR43" si="539">AR42+AQ43</f>
        <v>66204</v>
      </c>
      <c r="AS43" s="21">
        <f t="shared" ref="AS43" si="540">AS42+AR43</f>
        <v>66204</v>
      </c>
      <c r="AT43" s="21">
        <f t="shared" ref="AT43" si="541">AT42+AS43</f>
        <v>70308</v>
      </c>
      <c r="AU43" s="21">
        <f t="shared" ref="AU43:AV43" si="542">AU42+AT43</f>
        <v>74484</v>
      </c>
      <c r="AV43" s="21">
        <f t="shared" si="542"/>
        <v>78744</v>
      </c>
      <c r="AW43" s="21">
        <f t="shared" ref="AW43" si="543">AW42+AV43</f>
        <v>83088</v>
      </c>
      <c r="AX43" s="21">
        <f t="shared" ref="AX43" si="544">AX42+AW43</f>
        <v>87516</v>
      </c>
      <c r="AY43" s="21">
        <f t="shared" ref="AY43" si="545">AY42+AX43</f>
        <v>92004</v>
      </c>
      <c r="AZ43" s="21">
        <f t="shared" ref="AZ43" si="546">AZ42+AY43</f>
        <v>92004</v>
      </c>
      <c r="BA43" s="21">
        <f t="shared" ref="BA43" si="547">BA42+AZ43</f>
        <v>96552</v>
      </c>
      <c r="BB43" s="21">
        <f t="shared" ref="BB43" si="548">BB42+BA43</f>
        <v>101172</v>
      </c>
      <c r="BC43" s="21">
        <f t="shared" ref="BC43" si="549">BC42+BB43</f>
        <v>105828</v>
      </c>
      <c r="BD43" s="21">
        <f t="shared" ref="BD43" si="550">BD42+BC43</f>
        <v>110520</v>
      </c>
      <c r="BE43" s="21">
        <f t="shared" ref="BE43" si="551">BE42+BD43</f>
        <v>115260</v>
      </c>
      <c r="BF43" s="21">
        <f t="shared" ref="BF43:BG43" si="552">BF42+BE43</f>
        <v>120024</v>
      </c>
      <c r="BG43" s="21">
        <f t="shared" si="552"/>
        <v>120024</v>
      </c>
      <c r="BH43" s="21">
        <f t="shared" ref="BH43" si="553">BH42+BG43</f>
        <v>124800</v>
      </c>
      <c r="BI43" s="21">
        <f t="shared" ref="BI43" si="554">BI42+BH43</f>
        <v>129600</v>
      </c>
      <c r="BJ43" s="21">
        <f t="shared" ref="BJ43" si="555">BJ42+BI43</f>
        <v>134400</v>
      </c>
      <c r="BK43" s="21">
        <f t="shared" ref="BK43" si="556">BK42+BJ43</f>
        <v>139200</v>
      </c>
      <c r="BL43" s="21">
        <f t="shared" ref="BL43" si="557">BL42+BK43</f>
        <v>144000</v>
      </c>
      <c r="BM43" s="21">
        <f t="shared" ref="BM43" si="558">BM42+BL43</f>
        <v>148800</v>
      </c>
      <c r="BN43" s="21">
        <f t="shared" ref="BN43" si="559">BN42+BM43</f>
        <v>148800</v>
      </c>
      <c r="BO43" s="21">
        <f t="shared" ref="BO43" si="560">BO42+BN43</f>
        <v>153600</v>
      </c>
      <c r="BP43" s="21">
        <f t="shared" ref="BP43" si="561">BP42+BO43</f>
        <v>158400</v>
      </c>
      <c r="BQ43" s="21">
        <f t="shared" ref="BQ43:BR43" si="562">BQ42+BP43</f>
        <v>163200</v>
      </c>
      <c r="BR43" s="21">
        <f t="shared" si="562"/>
        <v>168000</v>
      </c>
      <c r="BS43" s="21">
        <f t="shared" ref="BS43" si="563">BS42+BR43</f>
        <v>172800</v>
      </c>
      <c r="BT43" s="21">
        <f t="shared" ref="BT43" si="564">BT42+BS43</f>
        <v>177600</v>
      </c>
      <c r="BU43" s="21">
        <f t="shared" ref="BU43" si="565">BU42+BT43</f>
        <v>177600</v>
      </c>
      <c r="BV43" s="21">
        <f t="shared" ref="BV43" si="566">BV42+BU43</f>
        <v>182400</v>
      </c>
      <c r="BW43" s="21">
        <f t="shared" ref="BW43" si="567">BW42+BV43</f>
        <v>187200</v>
      </c>
      <c r="BX43" s="21">
        <f t="shared" ref="BX43" si="568">BX42+BW43</f>
        <v>192000</v>
      </c>
      <c r="BY43" s="21">
        <f t="shared" ref="BY43" si="569">BY42+BX43</f>
        <v>196800</v>
      </c>
      <c r="BZ43" s="21">
        <f t="shared" ref="BZ43" si="570">BZ42+BY43</f>
        <v>201600</v>
      </c>
      <c r="CA43" s="21">
        <f t="shared" ref="CA43" si="571">CA42+BZ43</f>
        <v>206400</v>
      </c>
      <c r="CB43" s="21">
        <f t="shared" ref="CB43:CC43" si="572">CB42+CA43</f>
        <v>206400</v>
      </c>
      <c r="CC43" s="21">
        <f t="shared" si="572"/>
        <v>211200</v>
      </c>
      <c r="CD43" s="21">
        <f t="shared" ref="CD43" si="573">CD42+CC43</f>
        <v>216000</v>
      </c>
      <c r="CE43" s="21">
        <f t="shared" ref="CE43" si="574">CE42+CD43</f>
        <v>220800</v>
      </c>
      <c r="CF43" s="21">
        <f t="shared" ref="CF43" si="575">CF42+CE43</f>
        <v>225600</v>
      </c>
      <c r="CG43" s="21">
        <f t="shared" ref="CG43" si="576">CG42+CF43</f>
        <v>230400</v>
      </c>
      <c r="CH43" s="21">
        <f t="shared" ref="CH43" si="577">CH42+CG43</f>
        <v>235200</v>
      </c>
      <c r="CI43" s="21">
        <f t="shared" ref="CI43" si="578">CI42+CH43</f>
        <v>235200</v>
      </c>
      <c r="CJ43" s="21">
        <f t="shared" ref="CJ43" si="579">CJ42+CI43</f>
        <v>240000</v>
      </c>
      <c r="CK43" s="21">
        <f t="shared" ref="CK43" si="580">CK42+CJ43</f>
        <v>244800</v>
      </c>
      <c r="CL43" s="21">
        <f t="shared" ref="CL43" si="581">CL42+CK43</f>
        <v>249600</v>
      </c>
      <c r="CM43" s="21">
        <f t="shared" ref="CM43:CN43" si="582">CM42+CL43</f>
        <v>254400</v>
      </c>
      <c r="CN43" s="21">
        <f t="shared" si="582"/>
        <v>259200</v>
      </c>
      <c r="CO43" s="21">
        <f t="shared" ref="CO43" si="583">CO42+CN43</f>
        <v>264000</v>
      </c>
      <c r="CP43" s="21">
        <f t="shared" ref="CP43" si="584">CP42+CO43</f>
        <v>264000</v>
      </c>
      <c r="CQ43" s="21">
        <f t="shared" ref="CQ43" si="585">CQ42+CP43</f>
        <v>268800</v>
      </c>
      <c r="CR43" s="21">
        <f t="shared" ref="CR43" si="586">CR42+CQ43</f>
        <v>273600</v>
      </c>
      <c r="CS43" s="21">
        <f t="shared" ref="CS43" si="587">CS42+CR43</f>
        <v>278400</v>
      </c>
      <c r="CT43" s="21">
        <f t="shared" ref="CT43" si="588">CT42+CS43</f>
        <v>283200</v>
      </c>
      <c r="CU43" s="21">
        <f t="shared" ref="CU43" si="589">CU42+CT43</f>
        <v>288000</v>
      </c>
      <c r="CV43" s="21">
        <f t="shared" ref="CV43" si="590">CV42+CU43</f>
        <v>292800</v>
      </c>
      <c r="CW43" s="21">
        <f t="shared" ref="CW43" si="591">CW42+CV43</f>
        <v>292800</v>
      </c>
      <c r="CX43" s="21">
        <f t="shared" ref="CX43:CY43" si="592">CX42+CW43</f>
        <v>297600</v>
      </c>
      <c r="CY43" s="21">
        <f t="shared" si="592"/>
        <v>302400</v>
      </c>
      <c r="CZ43" s="21">
        <f t="shared" ref="CZ43" si="593">CZ42+CY43</f>
        <v>307200</v>
      </c>
      <c r="DA43" s="21">
        <f t="shared" ref="DA43" si="594">DA42+CZ43</f>
        <v>312000</v>
      </c>
      <c r="DB43" s="21">
        <f t="shared" ref="DB43" si="595">DB42+DA43</f>
        <v>316800</v>
      </c>
      <c r="DC43" s="21">
        <f t="shared" ref="DC43" si="596">DC42+DB43</f>
        <v>321600</v>
      </c>
      <c r="DD43" s="21">
        <f t="shared" ref="DD43" si="597">DD42+DC43</f>
        <v>321600</v>
      </c>
      <c r="DE43" s="21">
        <f t="shared" ref="DE43" si="598">DE42+DD43</f>
        <v>326400</v>
      </c>
      <c r="DF43" s="21">
        <f t="shared" ref="DF43" si="599">DF42+DE43</f>
        <v>331200</v>
      </c>
      <c r="DG43" s="21">
        <f t="shared" ref="DG43" si="600">DG42+DF43</f>
        <v>336000</v>
      </c>
      <c r="DH43" s="21">
        <f t="shared" ref="DH43" si="601">DH42+DG43</f>
        <v>340800</v>
      </c>
      <c r="DI43" s="21">
        <f t="shared" ref="DI43:DJ43" si="602">DI42+DH43</f>
        <v>345600</v>
      </c>
      <c r="DJ43" s="21">
        <f t="shared" si="602"/>
        <v>350400</v>
      </c>
      <c r="DK43" s="21">
        <f t="shared" ref="DK43" si="603">DK42+DJ43</f>
        <v>350400</v>
      </c>
      <c r="DL43" s="21">
        <f t="shared" ref="DL43" si="604">DL42+DK43</f>
        <v>355200</v>
      </c>
      <c r="DM43" s="21">
        <f t="shared" ref="DM43" si="605">DM42+DL43</f>
        <v>360000</v>
      </c>
      <c r="DN43" s="21">
        <f t="shared" ref="DN43" si="606">DN42+DM43</f>
        <v>364800</v>
      </c>
      <c r="DO43" s="21">
        <f t="shared" ref="DO43" si="607">DO42+DN43</f>
        <v>369600</v>
      </c>
      <c r="DP43" s="21">
        <f t="shared" ref="DP43" si="608">DP42+DO43</f>
        <v>374400</v>
      </c>
      <c r="DQ43" s="21">
        <f t="shared" ref="DQ43" si="609">DQ42+DP43</f>
        <v>379200</v>
      </c>
      <c r="DR43" s="21">
        <f t="shared" ref="DR43" si="610">DR42+DQ43</f>
        <v>379200</v>
      </c>
      <c r="DS43" s="21">
        <f t="shared" ref="DS43" si="611">DS42+DR43</f>
        <v>384000</v>
      </c>
      <c r="DT43" s="21">
        <f t="shared" ref="DT43:DU43" si="612">DT42+DS43</f>
        <v>388800</v>
      </c>
      <c r="DU43" s="21">
        <f t="shared" si="612"/>
        <v>393600</v>
      </c>
      <c r="DV43" s="21">
        <f t="shared" ref="DV43" si="613">DV42+DU43</f>
        <v>398400</v>
      </c>
      <c r="DW43" s="21">
        <f t="shared" ref="DW43" si="614">DW42+DV43</f>
        <v>403200</v>
      </c>
      <c r="DX43" s="21">
        <f t="shared" ref="DX43" si="615">DX42+DW43</f>
        <v>408000</v>
      </c>
    </row>
    <row r="44" spans="2:128" x14ac:dyDescent="0.2">
      <c r="B44" s="1" t="s">
        <v>31</v>
      </c>
      <c r="D44" s="21"/>
      <c r="E44" s="21"/>
      <c r="F44" s="21"/>
      <c r="G44" s="21">
        <f>(G27*G28+G30*G31+G33*G34+G36*G37)*G23*G24</f>
        <v>420</v>
      </c>
      <c r="H44" s="21">
        <f t="shared" ref="H44:BS44" si="616">(H27*H28+H30*H31+H33*H34+H36*H37)*H23*H24</f>
        <v>442.85280000000006</v>
      </c>
      <c r="I44" s="21">
        <f t="shared" si="616"/>
        <v>457.47480000000002</v>
      </c>
      <c r="J44" s="21">
        <f t="shared" si="616"/>
        <v>0</v>
      </c>
      <c r="K44" s="21">
        <f t="shared" si="616"/>
        <v>901.1400000000001</v>
      </c>
      <c r="L44" s="21">
        <f t="shared" si="616"/>
        <v>948.05520000000001</v>
      </c>
      <c r="M44" s="21">
        <f t="shared" si="616"/>
        <v>987.27120000000014</v>
      </c>
      <c r="N44" s="21">
        <f t="shared" si="616"/>
        <v>1446.8280000000002</v>
      </c>
      <c r="O44" s="21">
        <f t="shared" si="616"/>
        <v>1519.1495999999997</v>
      </c>
      <c r="P44" s="21">
        <f t="shared" si="616"/>
        <v>1584.1608000000001</v>
      </c>
      <c r="Q44" s="21">
        <f t="shared" si="616"/>
        <v>0</v>
      </c>
      <c r="R44" s="21">
        <f t="shared" si="616"/>
        <v>2070.0527999999999</v>
      </c>
      <c r="S44" s="21">
        <f t="shared" si="616"/>
        <v>2159.616</v>
      </c>
      <c r="T44" s="21">
        <f t="shared" si="616"/>
        <v>2251.6944000000003</v>
      </c>
      <c r="U44" s="21">
        <f t="shared" si="616"/>
        <v>2345.1996000000004</v>
      </c>
      <c r="V44" s="21">
        <f t="shared" si="616"/>
        <v>2429.9951999999994</v>
      </c>
      <c r="W44" s="21">
        <f t="shared" si="616"/>
        <v>2535.8771999999999</v>
      </c>
      <c r="X44" s="21">
        <f t="shared" si="616"/>
        <v>0</v>
      </c>
      <c r="Y44" s="21">
        <f t="shared" si="616"/>
        <v>2634.5172000000002</v>
      </c>
      <c r="Z44" s="21">
        <f t="shared" si="616"/>
        <v>2724.6048000000001</v>
      </c>
      <c r="AA44" s="21">
        <f t="shared" si="616"/>
        <v>2825.2475999999997</v>
      </c>
      <c r="AB44" s="21">
        <f t="shared" si="616"/>
        <v>2938.1628000000001</v>
      </c>
      <c r="AC44" s="21">
        <f t="shared" si="616"/>
        <v>0</v>
      </c>
      <c r="AD44" s="21">
        <f t="shared" si="616"/>
        <v>0</v>
      </c>
      <c r="AE44" s="21">
        <f t="shared" si="616"/>
        <v>0</v>
      </c>
      <c r="AF44" s="21">
        <f t="shared" si="616"/>
        <v>3033.3768000000005</v>
      </c>
      <c r="AG44" s="21">
        <f t="shared" si="616"/>
        <v>3128.6027999999997</v>
      </c>
      <c r="AH44" s="21">
        <f t="shared" si="616"/>
        <v>3246.6276000000007</v>
      </c>
      <c r="AI44" s="21">
        <f t="shared" si="616"/>
        <v>0</v>
      </c>
      <c r="AJ44" s="21">
        <f t="shared" si="616"/>
        <v>0</v>
      </c>
      <c r="AK44" s="21">
        <f t="shared" si="616"/>
        <v>0</v>
      </c>
      <c r="AL44" s="21">
        <f t="shared" si="616"/>
        <v>0</v>
      </c>
      <c r="AM44" s="21">
        <f t="shared" si="616"/>
        <v>0</v>
      </c>
      <c r="AN44" s="21">
        <f t="shared" si="616"/>
        <v>0</v>
      </c>
      <c r="AO44" s="21">
        <f t="shared" si="616"/>
        <v>0</v>
      </c>
      <c r="AP44" s="21">
        <f t="shared" si="616"/>
        <v>3356.4047999999998</v>
      </c>
      <c r="AQ44" s="21">
        <f t="shared" si="616"/>
        <v>3456.9371999999998</v>
      </c>
      <c r="AR44" s="21">
        <f t="shared" si="616"/>
        <v>3568.8972000000003</v>
      </c>
      <c r="AS44" s="21">
        <f t="shared" si="616"/>
        <v>0</v>
      </c>
      <c r="AT44" s="21">
        <f t="shared" si="616"/>
        <v>3693.7752</v>
      </c>
      <c r="AU44" s="21">
        <f t="shared" si="616"/>
        <v>3799.4196000000002</v>
      </c>
      <c r="AV44" s="21">
        <f t="shared" si="616"/>
        <v>3916.6944000000008</v>
      </c>
      <c r="AW44" s="21">
        <f t="shared" si="616"/>
        <v>4035.0360000000001</v>
      </c>
      <c r="AX44" s="21">
        <f t="shared" si="616"/>
        <v>4156.2528000000002</v>
      </c>
      <c r="AY44" s="21">
        <f t="shared" si="616"/>
        <v>4243.3608000000004</v>
      </c>
      <c r="AZ44" s="21">
        <f t="shared" si="616"/>
        <v>0</v>
      </c>
      <c r="BA44" s="21">
        <f t="shared" si="616"/>
        <v>4331.1696000000002</v>
      </c>
      <c r="BB44" s="21">
        <f t="shared" si="616"/>
        <v>4432.0079999999998</v>
      </c>
      <c r="BC44" s="21">
        <f t="shared" si="616"/>
        <v>4487.6712000000007</v>
      </c>
      <c r="BD44" s="21">
        <f t="shared" si="616"/>
        <v>4543.6751999999997</v>
      </c>
      <c r="BE44" s="21">
        <f t="shared" si="616"/>
        <v>4612.1400000000003</v>
      </c>
      <c r="BF44" s="21">
        <f t="shared" si="616"/>
        <v>4646.2547999999997</v>
      </c>
      <c r="BG44" s="21">
        <f t="shared" si="616"/>
        <v>0</v>
      </c>
      <c r="BH44" s="21">
        <f t="shared" si="616"/>
        <v>4669.0727999999999</v>
      </c>
      <c r="BI44" s="21">
        <f t="shared" si="616"/>
        <v>4704</v>
      </c>
      <c r="BJ44" s="21">
        <f t="shared" si="616"/>
        <v>4704</v>
      </c>
      <c r="BK44" s="21">
        <f t="shared" si="616"/>
        <v>4704</v>
      </c>
      <c r="BL44" s="21">
        <f t="shared" si="616"/>
        <v>4704</v>
      </c>
      <c r="BM44" s="21">
        <f t="shared" si="616"/>
        <v>4704</v>
      </c>
      <c r="BN44" s="21">
        <f t="shared" si="616"/>
        <v>0</v>
      </c>
      <c r="BO44" s="21">
        <f t="shared" si="616"/>
        <v>4704</v>
      </c>
      <c r="BP44" s="21">
        <f t="shared" si="616"/>
        <v>4704</v>
      </c>
      <c r="BQ44" s="21">
        <f t="shared" si="616"/>
        <v>4704</v>
      </c>
      <c r="BR44" s="21">
        <f t="shared" si="616"/>
        <v>4704</v>
      </c>
      <c r="BS44" s="21">
        <f t="shared" si="616"/>
        <v>4704</v>
      </c>
      <c r="BT44" s="21">
        <f t="shared" ref="BT44:DX44" si="617">(BT27*BT28+BT30*BT31+BT33*BT34+BT36*BT37)*BT23*BT24</f>
        <v>4704</v>
      </c>
      <c r="BU44" s="21">
        <f t="shared" si="617"/>
        <v>0</v>
      </c>
      <c r="BV44" s="21">
        <f t="shared" si="617"/>
        <v>4704</v>
      </c>
      <c r="BW44" s="21">
        <f t="shared" si="617"/>
        <v>4704</v>
      </c>
      <c r="BX44" s="21">
        <f t="shared" si="617"/>
        <v>4704</v>
      </c>
      <c r="BY44" s="21">
        <f t="shared" si="617"/>
        <v>4704</v>
      </c>
      <c r="BZ44" s="21">
        <f t="shared" si="617"/>
        <v>4704</v>
      </c>
      <c r="CA44" s="21">
        <f t="shared" si="617"/>
        <v>4704</v>
      </c>
      <c r="CB44" s="21">
        <f t="shared" si="617"/>
        <v>0</v>
      </c>
      <c r="CC44" s="21">
        <f t="shared" si="617"/>
        <v>4704</v>
      </c>
      <c r="CD44" s="21">
        <f t="shared" si="617"/>
        <v>4704</v>
      </c>
      <c r="CE44" s="21">
        <f t="shared" si="617"/>
        <v>4704</v>
      </c>
      <c r="CF44" s="21">
        <f t="shared" si="617"/>
        <v>4704</v>
      </c>
      <c r="CG44" s="21">
        <f t="shared" si="617"/>
        <v>4704</v>
      </c>
      <c r="CH44" s="21">
        <f t="shared" si="617"/>
        <v>4704</v>
      </c>
      <c r="CI44" s="21">
        <f t="shared" si="617"/>
        <v>0</v>
      </c>
      <c r="CJ44" s="21">
        <f t="shared" si="617"/>
        <v>4704</v>
      </c>
      <c r="CK44" s="21">
        <f t="shared" si="617"/>
        <v>4704</v>
      </c>
      <c r="CL44" s="21">
        <f t="shared" si="617"/>
        <v>4704</v>
      </c>
      <c r="CM44" s="21">
        <f t="shared" si="617"/>
        <v>4704</v>
      </c>
      <c r="CN44" s="21">
        <f t="shared" si="617"/>
        <v>4704</v>
      </c>
      <c r="CO44" s="21">
        <f t="shared" si="617"/>
        <v>4704</v>
      </c>
      <c r="CP44" s="21">
        <f t="shared" si="617"/>
        <v>0</v>
      </c>
      <c r="CQ44" s="21">
        <f t="shared" si="617"/>
        <v>4704</v>
      </c>
      <c r="CR44" s="21">
        <f t="shared" si="617"/>
        <v>4704</v>
      </c>
      <c r="CS44" s="21">
        <f t="shared" si="617"/>
        <v>4704</v>
      </c>
      <c r="CT44" s="21">
        <f t="shared" si="617"/>
        <v>4704</v>
      </c>
      <c r="CU44" s="21">
        <f t="shared" si="617"/>
        <v>4704</v>
      </c>
      <c r="CV44" s="21">
        <f t="shared" si="617"/>
        <v>4704</v>
      </c>
      <c r="CW44" s="21">
        <f t="shared" si="617"/>
        <v>0</v>
      </c>
      <c r="CX44" s="21">
        <f t="shared" si="617"/>
        <v>4704</v>
      </c>
      <c r="CY44" s="21">
        <f t="shared" si="617"/>
        <v>4704</v>
      </c>
      <c r="CZ44" s="21">
        <f t="shared" si="617"/>
        <v>4704</v>
      </c>
      <c r="DA44" s="21">
        <f t="shared" si="617"/>
        <v>4704</v>
      </c>
      <c r="DB44" s="21">
        <f t="shared" si="617"/>
        <v>4704</v>
      </c>
      <c r="DC44" s="21">
        <f t="shared" si="617"/>
        <v>4704</v>
      </c>
      <c r="DD44" s="21">
        <f t="shared" si="617"/>
        <v>0</v>
      </c>
      <c r="DE44" s="21">
        <f t="shared" si="617"/>
        <v>4704</v>
      </c>
      <c r="DF44" s="21">
        <f t="shared" si="617"/>
        <v>4704</v>
      </c>
      <c r="DG44" s="21">
        <f t="shared" si="617"/>
        <v>4704</v>
      </c>
      <c r="DH44" s="21">
        <f t="shared" si="617"/>
        <v>4704</v>
      </c>
      <c r="DI44" s="21">
        <f t="shared" si="617"/>
        <v>4704</v>
      </c>
      <c r="DJ44" s="21">
        <f t="shared" si="617"/>
        <v>4704</v>
      </c>
      <c r="DK44" s="21">
        <f t="shared" si="617"/>
        <v>0</v>
      </c>
      <c r="DL44" s="21">
        <f t="shared" si="617"/>
        <v>4704</v>
      </c>
      <c r="DM44" s="21">
        <f t="shared" si="617"/>
        <v>4704</v>
      </c>
      <c r="DN44" s="21">
        <f t="shared" si="617"/>
        <v>4704</v>
      </c>
      <c r="DO44" s="21">
        <f t="shared" si="617"/>
        <v>4704</v>
      </c>
      <c r="DP44" s="21">
        <f t="shared" si="617"/>
        <v>4704</v>
      </c>
      <c r="DQ44" s="21">
        <f t="shared" si="617"/>
        <v>4704</v>
      </c>
      <c r="DR44" s="21">
        <f t="shared" si="617"/>
        <v>0</v>
      </c>
      <c r="DS44" s="21">
        <f t="shared" si="617"/>
        <v>4704</v>
      </c>
      <c r="DT44" s="21">
        <f t="shared" si="617"/>
        <v>4704</v>
      </c>
      <c r="DU44" s="21">
        <f t="shared" si="617"/>
        <v>4704</v>
      </c>
      <c r="DV44" s="21">
        <f t="shared" si="617"/>
        <v>4704</v>
      </c>
      <c r="DW44" s="21">
        <f t="shared" si="617"/>
        <v>4704</v>
      </c>
      <c r="DX44" s="21">
        <f t="shared" si="617"/>
        <v>4704</v>
      </c>
    </row>
    <row r="45" spans="2:128" x14ac:dyDescent="0.2">
      <c r="B45" s="1" t="s">
        <v>32</v>
      </c>
      <c r="D45" s="21"/>
      <c r="E45" s="21"/>
      <c r="F45" s="21"/>
      <c r="G45" s="21">
        <f>G44+F45</f>
        <v>420</v>
      </c>
      <c r="H45" s="21">
        <f t="shared" ref="H45:U45" si="618">H44+G45</f>
        <v>862.85280000000012</v>
      </c>
      <c r="I45" s="21">
        <f t="shared" si="618"/>
        <v>1320.3276000000001</v>
      </c>
      <c r="J45" s="21">
        <f t="shared" si="618"/>
        <v>1320.3276000000001</v>
      </c>
      <c r="K45" s="21">
        <f t="shared" si="618"/>
        <v>2221.4675999999999</v>
      </c>
      <c r="L45" s="21">
        <f t="shared" si="618"/>
        <v>3169.5227999999997</v>
      </c>
      <c r="M45" s="21">
        <f t="shared" si="618"/>
        <v>4156.7939999999999</v>
      </c>
      <c r="N45" s="21">
        <f t="shared" si="618"/>
        <v>5603.6220000000003</v>
      </c>
      <c r="O45" s="21">
        <f t="shared" si="618"/>
        <v>7122.7716</v>
      </c>
      <c r="P45" s="21">
        <f t="shared" si="618"/>
        <v>8706.9323999999997</v>
      </c>
      <c r="Q45" s="21">
        <f t="shared" si="618"/>
        <v>8706.9323999999997</v>
      </c>
      <c r="R45" s="21">
        <f t="shared" si="618"/>
        <v>10776.985199999999</v>
      </c>
      <c r="S45" s="21">
        <f t="shared" si="618"/>
        <v>12936.601199999999</v>
      </c>
      <c r="T45" s="21">
        <f t="shared" si="618"/>
        <v>15188.295599999999</v>
      </c>
      <c r="U45" s="21">
        <f t="shared" si="618"/>
        <v>17533.495200000001</v>
      </c>
      <c r="V45" s="21">
        <f t="shared" ref="V45" si="619">V44+U45</f>
        <v>19963.490400000002</v>
      </c>
      <c r="W45" s="21">
        <f t="shared" ref="W45" si="620">W44+V45</f>
        <v>22499.367600000001</v>
      </c>
      <c r="X45" s="21">
        <f t="shared" ref="X45" si="621">X44+W45</f>
        <v>22499.367600000001</v>
      </c>
      <c r="Y45" s="21">
        <f t="shared" ref="Y45" si="622">Y44+X45</f>
        <v>25133.8848</v>
      </c>
      <c r="Z45" s="21">
        <f t="shared" ref="Z45" si="623">Z44+Y45</f>
        <v>27858.489600000001</v>
      </c>
      <c r="AA45" s="21">
        <f t="shared" ref="AA45" si="624">AA44+Z45</f>
        <v>30683.7372</v>
      </c>
      <c r="AB45" s="21">
        <f t="shared" ref="AB45" si="625">AB44+AA45</f>
        <v>33621.9</v>
      </c>
      <c r="AC45" s="21">
        <f t="shared" ref="AC45" si="626">AC44+AB45</f>
        <v>33621.9</v>
      </c>
      <c r="AD45" s="21">
        <f t="shared" ref="AD45" si="627">AD44+AC45</f>
        <v>33621.9</v>
      </c>
      <c r="AE45" s="21">
        <f t="shared" ref="AE45" si="628">AE44+AD45</f>
        <v>33621.9</v>
      </c>
      <c r="AF45" s="21">
        <f t="shared" ref="AF45" si="629">AF44+AE45</f>
        <v>36655.2768</v>
      </c>
      <c r="AG45" s="21">
        <f t="shared" ref="AG45" si="630">AG44+AF45</f>
        <v>39783.8796</v>
      </c>
      <c r="AH45" s="21">
        <f t="shared" ref="AH45" si="631">AH44+AG45</f>
        <v>43030.5072</v>
      </c>
      <c r="AI45" s="21">
        <f t="shared" ref="AI45" si="632">AI44+AH45</f>
        <v>43030.5072</v>
      </c>
      <c r="AJ45" s="21">
        <f t="shared" ref="AJ45" si="633">AJ44+AI45</f>
        <v>43030.5072</v>
      </c>
      <c r="AK45" s="21">
        <f t="shared" ref="AK45" si="634">AK44+AJ45</f>
        <v>43030.5072</v>
      </c>
      <c r="AL45" s="21">
        <f t="shared" ref="AL45" si="635">AL44+AK45</f>
        <v>43030.5072</v>
      </c>
      <c r="AM45" s="21">
        <f t="shared" ref="AM45" si="636">AM44+AL45</f>
        <v>43030.5072</v>
      </c>
      <c r="AN45" s="21">
        <f t="shared" ref="AN45" si="637">AN44+AM45</f>
        <v>43030.5072</v>
      </c>
      <c r="AO45" s="21">
        <f t="shared" ref="AO45" si="638">AO44+AN45</f>
        <v>43030.5072</v>
      </c>
      <c r="AP45" s="21">
        <f t="shared" ref="AP45" si="639">AP44+AO45</f>
        <v>46386.911999999997</v>
      </c>
      <c r="AQ45" s="21">
        <f t="shared" ref="AQ45" si="640">AQ44+AP45</f>
        <v>49843.849199999997</v>
      </c>
      <c r="AR45" s="21">
        <f t="shared" ref="AR45" si="641">AR44+AQ45</f>
        <v>53412.746399999996</v>
      </c>
      <c r="AS45" s="21">
        <f t="shared" ref="AS45" si="642">AS44+AR45</f>
        <v>53412.746399999996</v>
      </c>
      <c r="AT45" s="21">
        <f t="shared" ref="AT45" si="643">AT44+AS45</f>
        <v>57106.521599999993</v>
      </c>
      <c r="AU45" s="21">
        <f t="shared" ref="AU45" si="644">AU44+AT45</f>
        <v>60905.941199999994</v>
      </c>
      <c r="AV45" s="21">
        <f t="shared" ref="AV45" si="645">AV44+AU45</f>
        <v>64822.635599999994</v>
      </c>
      <c r="AW45" s="21">
        <f t="shared" ref="AW45" si="646">AW44+AV45</f>
        <v>68857.671600000001</v>
      </c>
      <c r="AX45" s="21">
        <f t="shared" ref="AX45" si="647">AX44+AW45</f>
        <v>73013.924400000004</v>
      </c>
      <c r="AY45" s="21">
        <f t="shared" ref="AY45" si="648">AY44+AX45</f>
        <v>77257.285199999998</v>
      </c>
      <c r="AZ45" s="21">
        <f t="shared" ref="AZ45" si="649">AZ44+AY45</f>
        <v>77257.285199999998</v>
      </c>
      <c r="BA45" s="21">
        <f t="shared" ref="BA45" si="650">BA44+AZ45</f>
        <v>81588.454799999992</v>
      </c>
      <c r="BB45" s="21">
        <f t="shared" ref="BB45" si="651">BB44+BA45</f>
        <v>86020.462799999994</v>
      </c>
      <c r="BC45" s="21">
        <f t="shared" ref="BC45" si="652">BC44+BB45</f>
        <v>90508.133999999991</v>
      </c>
      <c r="BD45" s="21">
        <f t="shared" ref="BD45" si="653">BD44+BC45</f>
        <v>95051.809199999989</v>
      </c>
      <c r="BE45" s="21">
        <f t="shared" ref="BE45" si="654">BE44+BD45</f>
        <v>99663.949199999988</v>
      </c>
      <c r="BF45" s="21">
        <f t="shared" ref="BF45" si="655">BF44+BE45</f>
        <v>104310.20399999998</v>
      </c>
      <c r="BG45" s="21">
        <f t="shared" ref="BG45" si="656">BG44+BF45</f>
        <v>104310.20399999998</v>
      </c>
      <c r="BH45" s="21">
        <f t="shared" ref="BH45" si="657">BH44+BG45</f>
        <v>108979.27679999998</v>
      </c>
      <c r="BI45" s="21">
        <f t="shared" ref="BI45" si="658">BI44+BH45</f>
        <v>113683.27679999998</v>
      </c>
      <c r="BJ45" s="21">
        <f t="shared" ref="BJ45" si="659">BJ44+BI45</f>
        <v>118387.27679999998</v>
      </c>
      <c r="BK45" s="21">
        <f t="shared" ref="BK45" si="660">BK44+BJ45</f>
        <v>123091.27679999998</v>
      </c>
      <c r="BL45" s="21">
        <f t="shared" ref="BL45" si="661">BL44+BK45</f>
        <v>127795.27679999998</v>
      </c>
      <c r="BM45" s="21">
        <f t="shared" ref="BM45" si="662">BM44+BL45</f>
        <v>132499.27679999999</v>
      </c>
      <c r="BN45" s="21">
        <f t="shared" ref="BN45" si="663">BN44+BM45</f>
        <v>132499.27679999999</v>
      </c>
      <c r="BO45" s="21">
        <f t="shared" ref="BO45" si="664">BO44+BN45</f>
        <v>137203.27679999999</v>
      </c>
      <c r="BP45" s="21">
        <f t="shared" ref="BP45" si="665">BP44+BO45</f>
        <v>141907.27679999999</v>
      </c>
      <c r="BQ45" s="21">
        <f t="shared" ref="BQ45" si="666">BQ44+BP45</f>
        <v>146611.27679999999</v>
      </c>
      <c r="BR45" s="21">
        <f t="shared" ref="BR45" si="667">BR44+BQ45</f>
        <v>151315.27679999999</v>
      </c>
      <c r="BS45" s="21">
        <f t="shared" ref="BS45" si="668">BS44+BR45</f>
        <v>156019.27679999999</v>
      </c>
      <c r="BT45" s="21">
        <f t="shared" ref="BT45" si="669">BT44+BS45</f>
        <v>160723.27679999999</v>
      </c>
      <c r="BU45" s="21">
        <f t="shared" ref="BU45" si="670">BU44+BT45</f>
        <v>160723.27679999999</v>
      </c>
      <c r="BV45" s="21">
        <f t="shared" ref="BV45" si="671">BV44+BU45</f>
        <v>165427.27679999999</v>
      </c>
      <c r="BW45" s="21">
        <f t="shared" ref="BW45" si="672">BW44+BV45</f>
        <v>170131.27679999999</v>
      </c>
      <c r="BX45" s="21">
        <f t="shared" ref="BX45" si="673">BX44+BW45</f>
        <v>174835.27679999999</v>
      </c>
      <c r="BY45" s="21">
        <f t="shared" ref="BY45" si="674">BY44+BX45</f>
        <v>179539.27679999999</v>
      </c>
      <c r="BZ45" s="21">
        <f t="shared" ref="BZ45" si="675">BZ44+BY45</f>
        <v>184243.27679999999</v>
      </c>
      <c r="CA45" s="21">
        <f t="shared" ref="CA45" si="676">CA44+BZ45</f>
        <v>188947.27679999999</v>
      </c>
      <c r="CB45" s="21">
        <f t="shared" ref="CB45" si="677">CB44+CA45</f>
        <v>188947.27679999999</v>
      </c>
      <c r="CC45" s="21">
        <f t="shared" ref="CC45" si="678">CC44+CB45</f>
        <v>193651.27679999999</v>
      </c>
      <c r="CD45" s="21">
        <f t="shared" ref="CD45" si="679">CD44+CC45</f>
        <v>198355.27679999999</v>
      </c>
      <c r="CE45" s="21">
        <f t="shared" ref="CE45" si="680">CE44+CD45</f>
        <v>203059.27679999999</v>
      </c>
      <c r="CF45" s="21">
        <f t="shared" ref="CF45" si="681">CF44+CE45</f>
        <v>207763.27679999999</v>
      </c>
      <c r="CG45" s="21">
        <f t="shared" ref="CG45" si="682">CG44+CF45</f>
        <v>212467.27679999999</v>
      </c>
      <c r="CH45" s="21">
        <f t="shared" ref="CH45" si="683">CH44+CG45</f>
        <v>217171.27679999999</v>
      </c>
      <c r="CI45" s="21">
        <f t="shared" ref="CI45" si="684">CI44+CH45</f>
        <v>217171.27679999999</v>
      </c>
      <c r="CJ45" s="21">
        <f t="shared" ref="CJ45" si="685">CJ44+CI45</f>
        <v>221875.27679999999</v>
      </c>
      <c r="CK45" s="21">
        <f t="shared" ref="CK45" si="686">CK44+CJ45</f>
        <v>226579.27679999999</v>
      </c>
      <c r="CL45" s="21">
        <f t="shared" ref="CL45" si="687">CL44+CK45</f>
        <v>231283.27679999999</v>
      </c>
      <c r="CM45" s="21">
        <f t="shared" ref="CM45" si="688">CM44+CL45</f>
        <v>235987.27679999999</v>
      </c>
      <c r="CN45" s="21">
        <f t="shared" ref="CN45" si="689">CN44+CM45</f>
        <v>240691.27679999999</v>
      </c>
      <c r="CO45" s="21">
        <f t="shared" ref="CO45" si="690">CO44+CN45</f>
        <v>245395.27679999999</v>
      </c>
      <c r="CP45" s="21">
        <f t="shared" ref="CP45" si="691">CP44+CO45</f>
        <v>245395.27679999999</v>
      </c>
      <c r="CQ45" s="21">
        <f t="shared" ref="CQ45" si="692">CQ44+CP45</f>
        <v>250099.27679999999</v>
      </c>
      <c r="CR45" s="21">
        <f t="shared" ref="CR45" si="693">CR44+CQ45</f>
        <v>254803.27679999999</v>
      </c>
      <c r="CS45" s="21">
        <f t="shared" ref="CS45" si="694">CS44+CR45</f>
        <v>259507.27679999999</v>
      </c>
      <c r="CT45" s="21">
        <f t="shared" ref="CT45" si="695">CT44+CS45</f>
        <v>264211.27679999999</v>
      </c>
      <c r="CU45" s="21">
        <f t="shared" ref="CU45" si="696">CU44+CT45</f>
        <v>268915.27679999999</v>
      </c>
      <c r="CV45" s="21">
        <f t="shared" ref="CV45" si="697">CV44+CU45</f>
        <v>273619.27679999999</v>
      </c>
      <c r="CW45" s="21">
        <f t="shared" ref="CW45" si="698">CW44+CV45</f>
        <v>273619.27679999999</v>
      </c>
      <c r="CX45" s="21">
        <f t="shared" ref="CX45" si="699">CX44+CW45</f>
        <v>278323.27679999999</v>
      </c>
      <c r="CY45" s="21">
        <f t="shared" ref="CY45" si="700">CY44+CX45</f>
        <v>283027.27679999999</v>
      </c>
      <c r="CZ45" s="21">
        <f t="shared" ref="CZ45" si="701">CZ44+CY45</f>
        <v>287731.27679999999</v>
      </c>
      <c r="DA45" s="21">
        <f t="shared" ref="DA45" si="702">DA44+CZ45</f>
        <v>292435.27679999999</v>
      </c>
      <c r="DB45" s="21">
        <f t="shared" ref="DB45" si="703">DB44+DA45</f>
        <v>297139.27679999999</v>
      </c>
      <c r="DC45" s="21">
        <f t="shared" ref="DC45" si="704">DC44+DB45</f>
        <v>301843.27679999999</v>
      </c>
      <c r="DD45" s="21">
        <f t="shared" ref="DD45" si="705">DD44+DC45</f>
        <v>301843.27679999999</v>
      </c>
      <c r="DE45" s="21">
        <f t="shared" ref="DE45" si="706">DE44+DD45</f>
        <v>306547.27679999999</v>
      </c>
      <c r="DF45" s="21">
        <f t="shared" ref="DF45" si="707">DF44+DE45</f>
        <v>311251.27679999999</v>
      </c>
      <c r="DG45" s="21">
        <f t="shared" ref="DG45" si="708">DG44+DF45</f>
        <v>315955.27679999999</v>
      </c>
      <c r="DH45" s="21">
        <f t="shared" ref="DH45" si="709">DH44+DG45</f>
        <v>320659.27679999999</v>
      </c>
      <c r="DI45" s="21">
        <f t="shared" ref="DI45" si="710">DI44+DH45</f>
        <v>325363.27679999999</v>
      </c>
      <c r="DJ45" s="21">
        <f t="shared" ref="DJ45" si="711">DJ44+DI45</f>
        <v>330067.27679999999</v>
      </c>
      <c r="DK45" s="21">
        <f t="shared" ref="DK45" si="712">DK44+DJ45</f>
        <v>330067.27679999999</v>
      </c>
      <c r="DL45" s="21">
        <f t="shared" ref="DL45" si="713">DL44+DK45</f>
        <v>334771.27679999999</v>
      </c>
      <c r="DM45" s="21">
        <f t="shared" ref="DM45" si="714">DM44+DL45</f>
        <v>339475.27679999999</v>
      </c>
      <c r="DN45" s="21">
        <f t="shared" ref="DN45" si="715">DN44+DM45</f>
        <v>344179.27679999999</v>
      </c>
      <c r="DO45" s="21">
        <f t="shared" ref="DO45" si="716">DO44+DN45</f>
        <v>348883.27679999999</v>
      </c>
      <c r="DP45" s="21">
        <f t="shared" ref="DP45" si="717">DP44+DO45</f>
        <v>353587.27679999999</v>
      </c>
      <c r="DQ45" s="21">
        <f t="shared" ref="DQ45" si="718">DQ44+DP45</f>
        <v>358291.27679999999</v>
      </c>
      <c r="DR45" s="21">
        <f t="shared" ref="DR45" si="719">DR44+DQ45</f>
        <v>358291.27679999999</v>
      </c>
      <c r="DS45" s="21">
        <f t="shared" ref="DS45" si="720">DS44+DR45</f>
        <v>362995.27679999999</v>
      </c>
      <c r="DT45" s="21">
        <f t="shared" ref="DT45" si="721">DT44+DS45</f>
        <v>367699.27679999999</v>
      </c>
      <c r="DU45" s="21">
        <f t="shared" ref="DU45" si="722">DU44+DT45</f>
        <v>372403.27679999999</v>
      </c>
      <c r="DV45" s="21">
        <f t="shared" ref="DV45" si="723">DV44+DU45</f>
        <v>377107.27679999999</v>
      </c>
      <c r="DW45" s="21">
        <f t="shared" ref="DW45" si="724">DW44+DV45</f>
        <v>381811.27679999999</v>
      </c>
      <c r="DX45" s="21">
        <f t="shared" ref="DX45" si="725">DX44+DW45</f>
        <v>386515.27679999999</v>
      </c>
    </row>
    <row r="46" spans="2:128" x14ac:dyDescent="0.2">
      <c r="B46" s="1" t="s">
        <v>33</v>
      </c>
      <c r="I46" s="21">
        <f>IF(I24=0,0,G45-H47)</f>
        <v>420</v>
      </c>
      <c r="J46" s="21">
        <f t="shared" ref="J46:BU46" si="726">IF(J24=0,0,H45-I47)</f>
        <v>0</v>
      </c>
      <c r="K46" s="21">
        <f t="shared" si="726"/>
        <v>900.32760000000007</v>
      </c>
      <c r="L46" s="21">
        <f t="shared" si="726"/>
        <v>0</v>
      </c>
      <c r="M46" s="21">
        <f t="shared" si="726"/>
        <v>901.13999999999987</v>
      </c>
      <c r="N46" s="21">
        <f t="shared" si="726"/>
        <v>948.05519999999979</v>
      </c>
      <c r="O46" s="21">
        <f t="shared" si="726"/>
        <v>987.27120000000014</v>
      </c>
      <c r="P46" s="21">
        <f t="shared" si="726"/>
        <v>1446.8280000000004</v>
      </c>
      <c r="Q46" s="21">
        <f t="shared" si="726"/>
        <v>0</v>
      </c>
      <c r="R46" s="21">
        <f t="shared" si="726"/>
        <v>3103.3103999999994</v>
      </c>
      <c r="S46" s="21">
        <f t="shared" si="726"/>
        <v>0</v>
      </c>
      <c r="T46" s="21">
        <f t="shared" si="726"/>
        <v>2070.0527999999995</v>
      </c>
      <c r="U46" s="21">
        <f t="shared" si="726"/>
        <v>2159.616</v>
      </c>
      <c r="V46" s="21">
        <f t="shared" si="726"/>
        <v>2251.6944000000003</v>
      </c>
      <c r="W46" s="21">
        <f t="shared" si="726"/>
        <v>2345.1996000000017</v>
      </c>
      <c r="X46" s="21">
        <f t="shared" si="726"/>
        <v>0</v>
      </c>
      <c r="Y46" s="21">
        <f t="shared" si="726"/>
        <v>4965.8724000000002</v>
      </c>
      <c r="Z46" s="21">
        <f t="shared" si="726"/>
        <v>0</v>
      </c>
      <c r="AA46" s="21">
        <f t="shared" si="726"/>
        <v>2634.5171999999984</v>
      </c>
      <c r="AB46" s="21">
        <f t="shared" si="726"/>
        <v>2724.604800000001</v>
      </c>
      <c r="AC46" s="21">
        <f t="shared" si="726"/>
        <v>0</v>
      </c>
      <c r="AD46" s="21">
        <f t="shared" si="726"/>
        <v>0</v>
      </c>
      <c r="AE46" s="21">
        <f t="shared" si="726"/>
        <v>0</v>
      </c>
      <c r="AF46" s="21">
        <f t="shared" si="726"/>
        <v>5763.4104000000007</v>
      </c>
      <c r="AG46" s="21">
        <f t="shared" si="726"/>
        <v>0</v>
      </c>
      <c r="AH46" s="21">
        <f t="shared" si="726"/>
        <v>3033.3767999999982</v>
      </c>
      <c r="AI46" s="21">
        <f t="shared" si="726"/>
        <v>0</v>
      </c>
      <c r="AJ46" s="21">
        <f t="shared" si="726"/>
        <v>0</v>
      </c>
      <c r="AK46" s="21">
        <f t="shared" si="726"/>
        <v>0</v>
      </c>
      <c r="AL46" s="21">
        <f t="shared" si="726"/>
        <v>0</v>
      </c>
      <c r="AM46" s="21">
        <f t="shared" si="726"/>
        <v>0</v>
      </c>
      <c r="AN46" s="21">
        <f t="shared" si="726"/>
        <v>0</v>
      </c>
      <c r="AO46" s="21">
        <f t="shared" si="726"/>
        <v>0</v>
      </c>
      <c r="AP46" s="21">
        <f t="shared" si="726"/>
        <v>6375.2304000000004</v>
      </c>
      <c r="AQ46" s="21">
        <f t="shared" si="726"/>
        <v>0</v>
      </c>
      <c r="AR46" s="21">
        <f t="shared" si="726"/>
        <v>3356.4047999999966</v>
      </c>
      <c r="AS46" s="21">
        <f t="shared" si="726"/>
        <v>0</v>
      </c>
      <c r="AT46" s="21">
        <f t="shared" si="726"/>
        <v>7025.8343999999997</v>
      </c>
      <c r="AU46" s="21">
        <f t="shared" si="726"/>
        <v>0</v>
      </c>
      <c r="AV46" s="21">
        <f t="shared" si="726"/>
        <v>3693.7751999999964</v>
      </c>
      <c r="AW46" s="21">
        <f t="shared" si="726"/>
        <v>3799.4196000000011</v>
      </c>
      <c r="AX46" s="21">
        <f t="shared" si="726"/>
        <v>3916.6944000000003</v>
      </c>
      <c r="AY46" s="21">
        <f t="shared" si="726"/>
        <v>4035.0360000000073</v>
      </c>
      <c r="AZ46" s="21">
        <f t="shared" si="726"/>
        <v>0</v>
      </c>
      <c r="BA46" s="21">
        <f t="shared" si="726"/>
        <v>8399.6135999999969</v>
      </c>
      <c r="BB46" s="21">
        <f t="shared" si="726"/>
        <v>0</v>
      </c>
      <c r="BC46" s="21">
        <f t="shared" si="726"/>
        <v>4331.1695999999938</v>
      </c>
      <c r="BD46" s="21">
        <f t="shared" si="726"/>
        <v>4432.0080000000016</v>
      </c>
      <c r="BE46" s="21">
        <f t="shared" si="726"/>
        <v>4487.671199999997</v>
      </c>
      <c r="BF46" s="21">
        <f t="shared" si="726"/>
        <v>4543.6751999999979</v>
      </c>
      <c r="BG46" s="21">
        <f t="shared" si="726"/>
        <v>0</v>
      </c>
      <c r="BH46" s="21">
        <f t="shared" si="726"/>
        <v>9258.3947999999946</v>
      </c>
      <c r="BI46" s="21">
        <f t="shared" si="726"/>
        <v>0</v>
      </c>
      <c r="BJ46" s="21">
        <f t="shared" si="726"/>
        <v>4669.0727999999945</v>
      </c>
      <c r="BK46" s="21">
        <f t="shared" si="726"/>
        <v>4704</v>
      </c>
      <c r="BL46" s="21">
        <f t="shared" si="726"/>
        <v>4704</v>
      </c>
      <c r="BM46" s="21">
        <f t="shared" si="726"/>
        <v>4704</v>
      </c>
      <c r="BN46" s="21">
        <f t="shared" si="726"/>
        <v>0</v>
      </c>
      <c r="BO46" s="21">
        <f t="shared" si="726"/>
        <v>9408.0000000000146</v>
      </c>
      <c r="BP46" s="21">
        <f t="shared" si="726"/>
        <v>0</v>
      </c>
      <c r="BQ46" s="21">
        <f t="shared" si="726"/>
        <v>4704</v>
      </c>
      <c r="BR46" s="21">
        <f t="shared" si="726"/>
        <v>4704</v>
      </c>
      <c r="BS46" s="21">
        <f t="shared" si="726"/>
        <v>4704</v>
      </c>
      <c r="BT46" s="21">
        <f t="shared" si="726"/>
        <v>4704</v>
      </c>
      <c r="BU46" s="21">
        <f t="shared" si="726"/>
        <v>0</v>
      </c>
      <c r="BV46" s="21">
        <f t="shared" ref="BV46:DX46" si="727">IF(BV24=0,0,BT45-BU47)</f>
        <v>9408</v>
      </c>
      <c r="BW46" s="21">
        <f t="shared" si="727"/>
        <v>0</v>
      </c>
      <c r="BX46" s="21">
        <f t="shared" si="727"/>
        <v>4704</v>
      </c>
      <c r="BY46" s="21">
        <f t="shared" si="727"/>
        <v>4704</v>
      </c>
      <c r="BZ46" s="21">
        <f t="shared" si="727"/>
        <v>4704</v>
      </c>
      <c r="CA46" s="21">
        <f t="shared" si="727"/>
        <v>4704</v>
      </c>
      <c r="CB46" s="21">
        <f t="shared" si="727"/>
        <v>0</v>
      </c>
      <c r="CC46" s="21">
        <f t="shared" si="727"/>
        <v>9408</v>
      </c>
      <c r="CD46" s="21">
        <f t="shared" si="727"/>
        <v>0</v>
      </c>
      <c r="CE46" s="21">
        <f t="shared" si="727"/>
        <v>4704</v>
      </c>
      <c r="CF46" s="21">
        <f t="shared" si="727"/>
        <v>4704</v>
      </c>
      <c r="CG46" s="21">
        <f t="shared" si="727"/>
        <v>4704</v>
      </c>
      <c r="CH46" s="21">
        <f t="shared" si="727"/>
        <v>4704</v>
      </c>
      <c r="CI46" s="21">
        <f t="shared" si="727"/>
        <v>0</v>
      </c>
      <c r="CJ46" s="21">
        <f t="shared" si="727"/>
        <v>9408</v>
      </c>
      <c r="CK46" s="21">
        <f t="shared" si="727"/>
        <v>0</v>
      </c>
      <c r="CL46" s="21">
        <f t="shared" si="727"/>
        <v>4704</v>
      </c>
      <c r="CM46" s="21">
        <f t="shared" si="727"/>
        <v>4704</v>
      </c>
      <c r="CN46" s="21">
        <f t="shared" si="727"/>
        <v>4704</v>
      </c>
      <c r="CO46" s="21">
        <f t="shared" si="727"/>
        <v>4704</v>
      </c>
      <c r="CP46" s="21">
        <f t="shared" si="727"/>
        <v>0</v>
      </c>
      <c r="CQ46" s="21">
        <f t="shared" si="727"/>
        <v>9408</v>
      </c>
      <c r="CR46" s="21">
        <f t="shared" si="727"/>
        <v>0</v>
      </c>
      <c r="CS46" s="21">
        <f t="shared" si="727"/>
        <v>4704</v>
      </c>
      <c r="CT46" s="21">
        <f t="shared" si="727"/>
        <v>4704</v>
      </c>
      <c r="CU46" s="21">
        <f t="shared" si="727"/>
        <v>4704</v>
      </c>
      <c r="CV46" s="21">
        <f t="shared" si="727"/>
        <v>4704</v>
      </c>
      <c r="CW46" s="21">
        <f t="shared" si="727"/>
        <v>0</v>
      </c>
      <c r="CX46" s="21">
        <f t="shared" si="727"/>
        <v>9408</v>
      </c>
      <c r="CY46" s="21">
        <f t="shared" si="727"/>
        <v>0</v>
      </c>
      <c r="CZ46" s="21">
        <f t="shared" si="727"/>
        <v>4704</v>
      </c>
      <c r="DA46" s="21">
        <f t="shared" si="727"/>
        <v>4704</v>
      </c>
      <c r="DB46" s="21">
        <f t="shared" si="727"/>
        <v>4704</v>
      </c>
      <c r="DC46" s="21">
        <f t="shared" si="727"/>
        <v>4704</v>
      </c>
      <c r="DD46" s="21">
        <f t="shared" si="727"/>
        <v>0</v>
      </c>
      <c r="DE46" s="21">
        <f t="shared" si="727"/>
        <v>9408</v>
      </c>
      <c r="DF46" s="21">
        <f t="shared" si="727"/>
        <v>0</v>
      </c>
      <c r="DG46" s="21">
        <f t="shared" si="727"/>
        <v>4704</v>
      </c>
      <c r="DH46" s="21">
        <f t="shared" si="727"/>
        <v>4704</v>
      </c>
      <c r="DI46" s="21">
        <f t="shared" si="727"/>
        <v>4704</v>
      </c>
      <c r="DJ46" s="21">
        <f t="shared" si="727"/>
        <v>4704</v>
      </c>
      <c r="DK46" s="21">
        <f t="shared" si="727"/>
        <v>0</v>
      </c>
      <c r="DL46" s="21">
        <f t="shared" si="727"/>
        <v>9408</v>
      </c>
      <c r="DM46" s="21">
        <f t="shared" si="727"/>
        <v>0</v>
      </c>
      <c r="DN46" s="21">
        <f t="shared" si="727"/>
        <v>4704</v>
      </c>
      <c r="DO46" s="21">
        <f t="shared" si="727"/>
        <v>4704</v>
      </c>
      <c r="DP46" s="21">
        <f t="shared" si="727"/>
        <v>4704</v>
      </c>
      <c r="DQ46" s="21">
        <f t="shared" si="727"/>
        <v>4704</v>
      </c>
      <c r="DR46" s="21">
        <f t="shared" si="727"/>
        <v>0</v>
      </c>
      <c r="DS46" s="21">
        <f t="shared" si="727"/>
        <v>9408</v>
      </c>
      <c r="DT46" s="21">
        <f t="shared" si="727"/>
        <v>0</v>
      </c>
      <c r="DU46" s="21">
        <f t="shared" si="727"/>
        <v>4704</v>
      </c>
      <c r="DV46" s="21">
        <f t="shared" si="727"/>
        <v>4704</v>
      </c>
      <c r="DW46" s="21">
        <f t="shared" si="727"/>
        <v>4704</v>
      </c>
      <c r="DX46" s="21">
        <f t="shared" si="727"/>
        <v>4704</v>
      </c>
    </row>
    <row r="47" spans="2:128" x14ac:dyDescent="0.2">
      <c r="B47" s="1" t="s">
        <v>34</v>
      </c>
      <c r="I47" s="21">
        <f>I46+H47</f>
        <v>420</v>
      </c>
      <c r="J47" s="21">
        <f>J46+I47</f>
        <v>420</v>
      </c>
      <c r="K47" s="21">
        <f t="shared" ref="K47:BU47" si="728">K46+J47</f>
        <v>1320.3276000000001</v>
      </c>
      <c r="L47" s="21">
        <f t="shared" si="728"/>
        <v>1320.3276000000001</v>
      </c>
      <c r="M47" s="21">
        <f t="shared" si="728"/>
        <v>2221.4675999999999</v>
      </c>
      <c r="N47" s="21">
        <f t="shared" si="728"/>
        <v>3169.5227999999997</v>
      </c>
      <c r="O47" s="21">
        <f t="shared" si="728"/>
        <v>4156.7939999999999</v>
      </c>
      <c r="P47" s="21">
        <f t="shared" si="728"/>
        <v>5603.6220000000003</v>
      </c>
      <c r="Q47" s="21">
        <f t="shared" si="728"/>
        <v>5603.6220000000003</v>
      </c>
      <c r="R47" s="21">
        <f t="shared" si="728"/>
        <v>8706.9323999999997</v>
      </c>
      <c r="S47" s="21">
        <f t="shared" si="728"/>
        <v>8706.9323999999997</v>
      </c>
      <c r="T47" s="21">
        <f t="shared" si="728"/>
        <v>10776.985199999999</v>
      </c>
      <c r="U47" s="21">
        <f t="shared" si="728"/>
        <v>12936.601199999999</v>
      </c>
      <c r="V47" s="21">
        <f t="shared" si="728"/>
        <v>15188.295599999999</v>
      </c>
      <c r="W47" s="21">
        <f t="shared" si="728"/>
        <v>17533.495200000001</v>
      </c>
      <c r="X47" s="21">
        <f t="shared" si="728"/>
        <v>17533.495200000001</v>
      </c>
      <c r="Y47" s="21">
        <f t="shared" si="728"/>
        <v>22499.367600000001</v>
      </c>
      <c r="Z47" s="21">
        <f t="shared" si="728"/>
        <v>22499.367600000001</v>
      </c>
      <c r="AA47" s="21">
        <f t="shared" si="728"/>
        <v>25133.8848</v>
      </c>
      <c r="AB47" s="21">
        <f t="shared" si="728"/>
        <v>27858.489600000001</v>
      </c>
      <c r="AC47" s="21">
        <f t="shared" si="728"/>
        <v>27858.489600000001</v>
      </c>
      <c r="AD47" s="21">
        <f t="shared" si="728"/>
        <v>27858.489600000001</v>
      </c>
      <c r="AE47" s="21">
        <f t="shared" si="728"/>
        <v>27858.489600000001</v>
      </c>
      <c r="AF47" s="21">
        <f t="shared" si="728"/>
        <v>33621.9</v>
      </c>
      <c r="AG47" s="21">
        <f t="shared" si="728"/>
        <v>33621.9</v>
      </c>
      <c r="AH47" s="21">
        <f t="shared" si="728"/>
        <v>36655.2768</v>
      </c>
      <c r="AI47" s="21">
        <f t="shared" si="728"/>
        <v>36655.2768</v>
      </c>
      <c r="AJ47" s="21">
        <f t="shared" si="728"/>
        <v>36655.2768</v>
      </c>
      <c r="AK47" s="21">
        <f t="shared" si="728"/>
        <v>36655.2768</v>
      </c>
      <c r="AL47" s="21">
        <f t="shared" si="728"/>
        <v>36655.2768</v>
      </c>
      <c r="AM47" s="21">
        <f t="shared" si="728"/>
        <v>36655.2768</v>
      </c>
      <c r="AN47" s="21">
        <f t="shared" si="728"/>
        <v>36655.2768</v>
      </c>
      <c r="AO47" s="21">
        <f t="shared" si="728"/>
        <v>36655.2768</v>
      </c>
      <c r="AP47" s="21">
        <f t="shared" si="728"/>
        <v>43030.5072</v>
      </c>
      <c r="AQ47" s="21">
        <f t="shared" si="728"/>
        <v>43030.5072</v>
      </c>
      <c r="AR47" s="21">
        <f t="shared" si="728"/>
        <v>46386.911999999997</v>
      </c>
      <c r="AS47" s="21">
        <f t="shared" si="728"/>
        <v>46386.911999999997</v>
      </c>
      <c r="AT47" s="21">
        <f t="shared" si="728"/>
        <v>53412.746399999996</v>
      </c>
      <c r="AU47" s="21">
        <f t="shared" si="728"/>
        <v>53412.746399999996</v>
      </c>
      <c r="AV47" s="21">
        <f t="shared" si="728"/>
        <v>57106.521599999993</v>
      </c>
      <c r="AW47" s="21">
        <f t="shared" si="728"/>
        <v>60905.941199999994</v>
      </c>
      <c r="AX47" s="21">
        <f t="shared" si="728"/>
        <v>64822.635599999994</v>
      </c>
      <c r="AY47" s="21">
        <f t="shared" si="728"/>
        <v>68857.671600000001</v>
      </c>
      <c r="AZ47" s="21">
        <f t="shared" si="728"/>
        <v>68857.671600000001</v>
      </c>
      <c r="BA47" s="21">
        <f t="shared" si="728"/>
        <v>77257.285199999998</v>
      </c>
      <c r="BB47" s="21">
        <f t="shared" si="728"/>
        <v>77257.285199999998</v>
      </c>
      <c r="BC47" s="21">
        <f t="shared" si="728"/>
        <v>81588.454799999992</v>
      </c>
      <c r="BD47" s="21">
        <f t="shared" si="728"/>
        <v>86020.462799999994</v>
      </c>
      <c r="BE47" s="21">
        <f t="shared" si="728"/>
        <v>90508.133999999991</v>
      </c>
      <c r="BF47" s="21">
        <f t="shared" si="728"/>
        <v>95051.809199999989</v>
      </c>
      <c r="BG47" s="21">
        <f t="shared" si="728"/>
        <v>95051.809199999989</v>
      </c>
      <c r="BH47" s="21">
        <f t="shared" si="728"/>
        <v>104310.20399999998</v>
      </c>
      <c r="BI47" s="21">
        <f t="shared" si="728"/>
        <v>104310.20399999998</v>
      </c>
      <c r="BJ47" s="21">
        <f t="shared" si="728"/>
        <v>108979.27679999998</v>
      </c>
      <c r="BK47" s="21">
        <f t="shared" si="728"/>
        <v>113683.27679999998</v>
      </c>
      <c r="BL47" s="21">
        <f t="shared" si="728"/>
        <v>118387.27679999998</v>
      </c>
      <c r="BM47" s="21">
        <f t="shared" si="728"/>
        <v>123091.27679999998</v>
      </c>
      <c r="BN47" s="21">
        <f t="shared" si="728"/>
        <v>123091.27679999998</v>
      </c>
      <c r="BO47" s="21">
        <f t="shared" si="728"/>
        <v>132499.27679999999</v>
      </c>
      <c r="BP47" s="21">
        <f t="shared" si="728"/>
        <v>132499.27679999999</v>
      </c>
      <c r="BQ47" s="21">
        <f t="shared" si="728"/>
        <v>137203.27679999999</v>
      </c>
      <c r="BR47" s="21">
        <f t="shared" si="728"/>
        <v>141907.27679999999</v>
      </c>
      <c r="BS47" s="21">
        <f t="shared" si="728"/>
        <v>146611.27679999999</v>
      </c>
      <c r="BT47" s="21">
        <f t="shared" si="728"/>
        <v>151315.27679999999</v>
      </c>
      <c r="BU47" s="21">
        <f t="shared" si="728"/>
        <v>151315.27679999999</v>
      </c>
      <c r="BV47" s="21">
        <f t="shared" ref="BV47:DX47" si="729">BV46+BU47</f>
        <v>160723.27679999999</v>
      </c>
      <c r="BW47" s="21">
        <f t="shared" si="729"/>
        <v>160723.27679999999</v>
      </c>
      <c r="BX47" s="21">
        <f t="shared" si="729"/>
        <v>165427.27679999999</v>
      </c>
      <c r="BY47" s="21">
        <f t="shared" si="729"/>
        <v>170131.27679999999</v>
      </c>
      <c r="BZ47" s="21">
        <f t="shared" si="729"/>
        <v>174835.27679999999</v>
      </c>
      <c r="CA47" s="21">
        <f t="shared" si="729"/>
        <v>179539.27679999999</v>
      </c>
      <c r="CB47" s="21">
        <f t="shared" si="729"/>
        <v>179539.27679999999</v>
      </c>
      <c r="CC47" s="21">
        <f t="shared" si="729"/>
        <v>188947.27679999999</v>
      </c>
      <c r="CD47" s="21">
        <f t="shared" si="729"/>
        <v>188947.27679999999</v>
      </c>
      <c r="CE47" s="21">
        <f t="shared" si="729"/>
        <v>193651.27679999999</v>
      </c>
      <c r="CF47" s="21">
        <f t="shared" si="729"/>
        <v>198355.27679999999</v>
      </c>
      <c r="CG47" s="21">
        <f t="shared" si="729"/>
        <v>203059.27679999999</v>
      </c>
      <c r="CH47" s="21">
        <f t="shared" si="729"/>
        <v>207763.27679999999</v>
      </c>
      <c r="CI47" s="21">
        <f t="shared" si="729"/>
        <v>207763.27679999999</v>
      </c>
      <c r="CJ47" s="21">
        <f t="shared" si="729"/>
        <v>217171.27679999999</v>
      </c>
      <c r="CK47" s="21">
        <f t="shared" si="729"/>
        <v>217171.27679999999</v>
      </c>
      <c r="CL47" s="21">
        <f t="shared" si="729"/>
        <v>221875.27679999999</v>
      </c>
      <c r="CM47" s="21">
        <f t="shared" si="729"/>
        <v>226579.27679999999</v>
      </c>
      <c r="CN47" s="21">
        <f t="shared" si="729"/>
        <v>231283.27679999999</v>
      </c>
      <c r="CO47" s="21">
        <f t="shared" si="729"/>
        <v>235987.27679999999</v>
      </c>
      <c r="CP47" s="21">
        <f t="shared" si="729"/>
        <v>235987.27679999999</v>
      </c>
      <c r="CQ47" s="21">
        <f t="shared" si="729"/>
        <v>245395.27679999999</v>
      </c>
      <c r="CR47" s="21">
        <f t="shared" si="729"/>
        <v>245395.27679999999</v>
      </c>
      <c r="CS47" s="21">
        <f t="shared" si="729"/>
        <v>250099.27679999999</v>
      </c>
      <c r="CT47" s="21">
        <f t="shared" si="729"/>
        <v>254803.27679999999</v>
      </c>
      <c r="CU47" s="21">
        <f t="shared" si="729"/>
        <v>259507.27679999999</v>
      </c>
      <c r="CV47" s="21">
        <f t="shared" si="729"/>
        <v>264211.27679999999</v>
      </c>
      <c r="CW47" s="21">
        <f t="shared" si="729"/>
        <v>264211.27679999999</v>
      </c>
      <c r="CX47" s="21">
        <f t="shared" si="729"/>
        <v>273619.27679999999</v>
      </c>
      <c r="CY47" s="21">
        <f t="shared" si="729"/>
        <v>273619.27679999999</v>
      </c>
      <c r="CZ47" s="21">
        <f t="shared" si="729"/>
        <v>278323.27679999999</v>
      </c>
      <c r="DA47" s="21">
        <f t="shared" si="729"/>
        <v>283027.27679999999</v>
      </c>
      <c r="DB47" s="21">
        <f t="shared" si="729"/>
        <v>287731.27679999999</v>
      </c>
      <c r="DC47" s="21">
        <f t="shared" si="729"/>
        <v>292435.27679999999</v>
      </c>
      <c r="DD47" s="21">
        <f t="shared" si="729"/>
        <v>292435.27679999999</v>
      </c>
      <c r="DE47" s="21">
        <f t="shared" si="729"/>
        <v>301843.27679999999</v>
      </c>
      <c r="DF47" s="21">
        <f t="shared" si="729"/>
        <v>301843.27679999999</v>
      </c>
      <c r="DG47" s="21">
        <f t="shared" si="729"/>
        <v>306547.27679999999</v>
      </c>
      <c r="DH47" s="21">
        <f t="shared" si="729"/>
        <v>311251.27679999999</v>
      </c>
      <c r="DI47" s="21">
        <f t="shared" si="729"/>
        <v>315955.27679999999</v>
      </c>
      <c r="DJ47" s="21">
        <f t="shared" si="729"/>
        <v>320659.27679999999</v>
      </c>
      <c r="DK47" s="21">
        <f t="shared" si="729"/>
        <v>320659.27679999999</v>
      </c>
      <c r="DL47" s="21">
        <f t="shared" si="729"/>
        <v>330067.27679999999</v>
      </c>
      <c r="DM47" s="21">
        <f t="shared" si="729"/>
        <v>330067.27679999999</v>
      </c>
      <c r="DN47" s="21">
        <f t="shared" si="729"/>
        <v>334771.27679999999</v>
      </c>
      <c r="DO47" s="21">
        <f t="shared" si="729"/>
        <v>339475.27679999999</v>
      </c>
      <c r="DP47" s="21">
        <f t="shared" si="729"/>
        <v>344179.27679999999</v>
      </c>
      <c r="DQ47" s="21">
        <f t="shared" si="729"/>
        <v>348883.27679999999</v>
      </c>
      <c r="DR47" s="21">
        <f t="shared" si="729"/>
        <v>348883.27679999999</v>
      </c>
      <c r="DS47" s="21">
        <f t="shared" si="729"/>
        <v>358291.27679999999</v>
      </c>
      <c r="DT47" s="21">
        <f t="shared" si="729"/>
        <v>358291.27679999999</v>
      </c>
      <c r="DU47" s="21">
        <f t="shared" si="729"/>
        <v>362995.27679999999</v>
      </c>
      <c r="DV47" s="21">
        <f t="shared" si="729"/>
        <v>367699.27679999999</v>
      </c>
      <c r="DW47" s="21">
        <f t="shared" si="729"/>
        <v>372403.27679999999</v>
      </c>
      <c r="DX47" s="21">
        <f t="shared" si="729"/>
        <v>377107.27679999999</v>
      </c>
    </row>
    <row r="48" spans="2:128" x14ac:dyDescent="0.2">
      <c r="B48" s="1" t="s">
        <v>35</v>
      </c>
      <c r="I48" s="21">
        <f>I47-I41</f>
        <v>420</v>
      </c>
      <c r="J48" s="21">
        <f t="shared" ref="J48:O48" si="730">J47-J41</f>
        <v>420</v>
      </c>
      <c r="K48" s="21">
        <f>K47-K41</f>
        <v>1320.3276000000001</v>
      </c>
      <c r="L48" s="21">
        <f t="shared" si="730"/>
        <v>1320.3276000000001</v>
      </c>
      <c r="M48" s="21">
        <f t="shared" si="730"/>
        <v>2221.4675999999999</v>
      </c>
      <c r="N48" s="21">
        <f t="shared" si="730"/>
        <v>3169.5227999999997</v>
      </c>
      <c r="O48" s="21">
        <f t="shared" si="730"/>
        <v>4156.7939999999999</v>
      </c>
      <c r="P48" s="21">
        <f t="shared" ref="P48" si="731">P47-P41</f>
        <v>5603.6220000000003</v>
      </c>
      <c r="Q48" s="21">
        <f t="shared" ref="Q48" si="732">Q47-Q41</f>
        <v>5603.6220000000003</v>
      </c>
      <c r="R48" s="21">
        <f t="shared" ref="R48" si="733">R47-R41</f>
        <v>8706.9323999999997</v>
      </c>
      <c r="S48" s="21">
        <f t="shared" ref="S48" si="734">S47-S41</f>
        <v>8706.9323999999997</v>
      </c>
      <c r="T48" s="21">
        <f t="shared" ref="T48:U48" si="735">T47-T41</f>
        <v>10776.985199999999</v>
      </c>
      <c r="U48" s="21">
        <f t="shared" si="735"/>
        <v>12936.601199999999</v>
      </c>
      <c r="V48" s="21">
        <f t="shared" ref="V48" si="736">V47-V41</f>
        <v>15188.295599999999</v>
      </c>
      <c r="W48" s="21">
        <f t="shared" ref="W48" si="737">W47-W41</f>
        <v>17533.495200000001</v>
      </c>
      <c r="X48" s="21">
        <f t="shared" ref="X48" si="738">X47-X41</f>
        <v>17533.495200000001</v>
      </c>
      <c r="Y48" s="21">
        <f t="shared" ref="Y48" si="739">Y47-Y41</f>
        <v>22499.367600000001</v>
      </c>
      <c r="Z48" s="21">
        <f t="shared" ref="Z48:AA48" si="740">Z47-Z41</f>
        <v>22499.367600000001</v>
      </c>
      <c r="AA48" s="21">
        <f t="shared" si="740"/>
        <v>25133.8848</v>
      </c>
      <c r="AB48" s="21">
        <f t="shared" ref="AB48" si="741">AB47-AB41</f>
        <v>27858.489600000001</v>
      </c>
      <c r="AC48" s="21">
        <f t="shared" ref="AC48" si="742">AC47-AC41</f>
        <v>27858.489600000001</v>
      </c>
      <c r="AD48" s="21">
        <f>AD47-AD41</f>
        <v>-4141.5103999999992</v>
      </c>
      <c r="AE48" s="21">
        <f t="shared" ref="AE48" si="743">AE47-AE41</f>
        <v>-4141.5103999999992</v>
      </c>
      <c r="AF48" s="21">
        <f t="shared" ref="AF48:AG48" si="744">AF47-AF41</f>
        <v>1621.9000000000015</v>
      </c>
      <c r="AG48" s="21">
        <f t="shared" si="744"/>
        <v>1621.9000000000015</v>
      </c>
      <c r="AH48" s="21">
        <f t="shared" ref="AH48" si="745">AH47-AH41</f>
        <v>4655.2767999999996</v>
      </c>
      <c r="AI48" s="21">
        <f t="shared" ref="AI48" si="746">AI47-AI41</f>
        <v>4655.2767999999996</v>
      </c>
      <c r="AJ48" s="21">
        <f t="shared" ref="AJ48" si="747">AJ47-AJ41</f>
        <v>4655.2767999999996</v>
      </c>
      <c r="AK48" s="21">
        <f t="shared" ref="AK48" si="748">AK47-AK41</f>
        <v>-27344.7232</v>
      </c>
      <c r="AL48" s="21">
        <f t="shared" ref="AL48:AM48" si="749">AL47-AL41</f>
        <v>-27344.7232</v>
      </c>
      <c r="AM48" s="21">
        <f t="shared" si="749"/>
        <v>-27344.7232</v>
      </c>
      <c r="AN48" s="21">
        <f t="shared" ref="AN48" si="750">AN47-AN41</f>
        <v>-27344.7232</v>
      </c>
      <c r="AO48" s="21">
        <f t="shared" ref="AO48" si="751">AO47-AO41</f>
        <v>-27344.7232</v>
      </c>
      <c r="AP48" s="21">
        <f t="shared" ref="AP48" si="752">AP47-AP41</f>
        <v>-20969.4928</v>
      </c>
      <c r="AQ48" s="21">
        <f t="shared" ref="AQ48" si="753">AQ47-AQ41</f>
        <v>-20969.4928</v>
      </c>
      <c r="AR48" s="21">
        <f t="shared" ref="AR48:AS48" si="754">AR47-AR41</f>
        <v>-49613.088000000003</v>
      </c>
      <c r="AS48" s="21">
        <f t="shared" si="754"/>
        <v>-49613.088000000003</v>
      </c>
      <c r="AT48" s="21">
        <f t="shared" ref="AT48" si="755">AT47-AT41</f>
        <v>-42587.253600000004</v>
      </c>
      <c r="AU48" s="21">
        <f t="shared" ref="AU48" si="756">AU47-AU41</f>
        <v>-42587.253600000004</v>
      </c>
      <c r="AV48" s="21">
        <f t="shared" ref="AV48" si="757">AV47-AV41</f>
        <v>-38893.478400000007</v>
      </c>
      <c r="AW48" s="21">
        <f t="shared" ref="AW48" si="758">AW47-AW41</f>
        <v>-35094.058800000006</v>
      </c>
      <c r="AX48" s="21">
        <f t="shared" ref="AX48:AY48" si="759">AX47-AX41</f>
        <v>-31177.364400000006</v>
      </c>
      <c r="AY48" s="21">
        <f t="shared" si="759"/>
        <v>-59142.328399999999</v>
      </c>
      <c r="AZ48" s="21">
        <f t="shared" ref="AZ48" si="760">AZ47-AZ41</f>
        <v>-59142.328399999999</v>
      </c>
      <c r="BA48" s="21">
        <f t="shared" ref="BA48" si="761">BA47-BA41</f>
        <v>-50742.714800000002</v>
      </c>
      <c r="BB48" s="21">
        <f t="shared" ref="BB48" si="762">BB47-BB41</f>
        <v>-50742.714800000002</v>
      </c>
      <c r="BC48" s="21">
        <f t="shared" ref="BC48" si="763">BC47-BC41</f>
        <v>-46411.545200000008</v>
      </c>
      <c r="BD48" s="21">
        <f t="shared" ref="BD48:BE48" si="764">BD47-BD41</f>
        <v>-41979.537200000006</v>
      </c>
      <c r="BE48" s="21">
        <f t="shared" si="764"/>
        <v>-37491.866000000009</v>
      </c>
      <c r="BF48" s="21">
        <f t="shared" ref="BF48" si="765">BF47-BF41</f>
        <v>-56948.190800000011</v>
      </c>
      <c r="BG48" s="21">
        <f t="shared" ref="BG48" si="766">BG47-BG41</f>
        <v>-56948.190800000011</v>
      </c>
      <c r="BH48" s="21">
        <f t="shared" ref="BH48" si="767">BH47-BH41</f>
        <v>-47689.796000000017</v>
      </c>
      <c r="BI48" s="21">
        <f t="shared" ref="BI48" si="768">BI47-BI41</f>
        <v>-47689.796000000017</v>
      </c>
      <c r="BJ48" s="21">
        <f t="shared" ref="BJ48:BK48" si="769">BJ47-BJ41</f>
        <v>-43020.723200000022</v>
      </c>
      <c r="BK48" s="21">
        <f t="shared" si="769"/>
        <v>-38316.723200000022</v>
      </c>
      <c r="BL48" s="21">
        <f t="shared" ref="BL48" si="770">BL47-BL41</f>
        <v>-33612.723200000022</v>
      </c>
      <c r="BM48" s="21">
        <f t="shared" ref="BM48" si="771">BM47-BM41</f>
        <v>-52908.723200000022</v>
      </c>
      <c r="BN48" s="21">
        <f t="shared" ref="BN48" si="772">BN47-BN41</f>
        <v>-52908.723200000022</v>
      </c>
      <c r="BO48" s="21">
        <f t="shared" ref="BO48" si="773">BO47-BO41</f>
        <v>-43500.723200000008</v>
      </c>
      <c r="BP48" s="21">
        <f t="shared" ref="BP48:BQ48" si="774">BP47-BP41</f>
        <v>-43500.723200000008</v>
      </c>
      <c r="BQ48" s="21">
        <f t="shared" si="774"/>
        <v>-38796.723200000008</v>
      </c>
      <c r="BR48" s="21">
        <f t="shared" ref="BR48" si="775">BR47-BR41</f>
        <v>-34092.723200000008</v>
      </c>
      <c r="BS48" s="21">
        <f t="shared" ref="BS48" si="776">BS47-BS41</f>
        <v>-29388.723200000008</v>
      </c>
      <c r="BT48" s="21">
        <f t="shared" ref="BT48" si="777">BT47-BT41</f>
        <v>-48684.723200000008</v>
      </c>
      <c r="BU48" s="21">
        <f t="shared" ref="BU48" si="778">BU47-BU41</f>
        <v>-48684.723200000008</v>
      </c>
      <c r="BV48" s="21">
        <f t="shared" ref="BV48:BW48" si="779">BV47-BV41</f>
        <v>-39276.723200000008</v>
      </c>
      <c r="BW48" s="21">
        <f t="shared" si="779"/>
        <v>-39276.723200000008</v>
      </c>
      <c r="BX48" s="21">
        <f t="shared" ref="BX48" si="780">BX47-BX41</f>
        <v>-34572.723200000008</v>
      </c>
      <c r="BY48" s="21">
        <f t="shared" ref="BY48" si="781">BY47-BY41</f>
        <v>-29868.723200000008</v>
      </c>
      <c r="BZ48" s="21">
        <f t="shared" ref="BZ48" si="782">BZ47-BZ41</f>
        <v>-25164.723200000008</v>
      </c>
      <c r="CA48" s="21">
        <f t="shared" ref="CA48" si="783">CA47-CA41</f>
        <v>-44460.723200000008</v>
      </c>
      <c r="CB48" s="21">
        <f t="shared" ref="CB48:CC48" si="784">CB47-CB41</f>
        <v>-44460.723200000008</v>
      </c>
      <c r="CC48" s="21">
        <f t="shared" si="784"/>
        <v>-35052.723200000008</v>
      </c>
      <c r="CD48" s="21">
        <f t="shared" ref="CD48" si="785">CD47-CD41</f>
        <v>-35052.723200000008</v>
      </c>
      <c r="CE48" s="21">
        <f t="shared" ref="CE48" si="786">CE47-CE41</f>
        <v>-30348.723200000008</v>
      </c>
      <c r="CF48" s="21">
        <f t="shared" ref="CF48" si="787">CF47-CF41</f>
        <v>-25644.723200000008</v>
      </c>
      <c r="CG48" s="21">
        <f t="shared" ref="CG48" si="788">CG47-CG41</f>
        <v>-20940.723200000008</v>
      </c>
      <c r="CH48" s="21">
        <f t="shared" ref="CH48:CI48" si="789">CH47-CH41</f>
        <v>-34236.723200000008</v>
      </c>
      <c r="CI48" s="21">
        <f t="shared" si="789"/>
        <v>-34236.723200000008</v>
      </c>
      <c r="CJ48" s="21">
        <f t="shared" ref="CJ48" si="790">CJ47-CJ41</f>
        <v>-24828.723200000008</v>
      </c>
      <c r="CK48" s="21">
        <f t="shared" ref="CK48" si="791">CK47-CK41</f>
        <v>-24828.723200000008</v>
      </c>
      <c r="CL48" s="21">
        <f t="shared" ref="CL48" si="792">CL47-CL41</f>
        <v>-20124.723200000008</v>
      </c>
      <c r="CM48" s="21">
        <f t="shared" ref="CM48" si="793">CM47-CM41</f>
        <v>-15420.723200000008</v>
      </c>
      <c r="CN48" s="21">
        <f t="shared" ref="CN48:CO48" si="794">CN47-CN41</f>
        <v>-10716.723200000008</v>
      </c>
      <c r="CO48" s="21">
        <f t="shared" si="794"/>
        <v>-24012.723200000008</v>
      </c>
      <c r="CP48" s="21">
        <f t="shared" ref="CP48" si="795">CP47-CP41</f>
        <v>-24012.723200000008</v>
      </c>
      <c r="CQ48" s="21">
        <f t="shared" ref="CQ48" si="796">CQ47-CQ41</f>
        <v>-14604.723200000008</v>
      </c>
      <c r="CR48" s="21">
        <f t="shared" ref="CR48" si="797">CR47-CR41</f>
        <v>-14604.723200000008</v>
      </c>
      <c r="CS48" s="21">
        <f t="shared" ref="CS48" si="798">CS47-CS41</f>
        <v>-9900.7232000000076</v>
      </c>
      <c r="CT48" s="21">
        <f t="shared" ref="CT48:CU48" si="799">CT47-CT41</f>
        <v>-5196.7232000000076</v>
      </c>
      <c r="CU48" s="21">
        <f t="shared" si="799"/>
        <v>-492.72320000000764</v>
      </c>
      <c r="CV48" s="21">
        <f t="shared" ref="CV48" si="800">CV47-CV41</f>
        <v>-13788.723200000008</v>
      </c>
      <c r="CW48" s="21">
        <f t="shared" ref="CW48" si="801">CW47-CW41</f>
        <v>-13788.723200000008</v>
      </c>
      <c r="CX48" s="21">
        <f t="shared" ref="CX48" si="802">CX47-CX41</f>
        <v>-4380.7232000000076</v>
      </c>
      <c r="CY48" s="21">
        <f t="shared" ref="CY48" si="803">CY47-CY41</f>
        <v>-4380.7232000000076</v>
      </c>
      <c r="CZ48" s="21">
        <f t="shared" ref="CZ48:DA48" si="804">CZ47-CZ41</f>
        <v>323.27679999999236</v>
      </c>
      <c r="DA48" s="21">
        <f t="shared" si="804"/>
        <v>5027.2767999999924</v>
      </c>
      <c r="DB48" s="21">
        <f t="shared" ref="DB48" si="805">DB47-DB41</f>
        <v>9731.2767999999924</v>
      </c>
      <c r="DC48" s="21">
        <f t="shared" ref="DC48" si="806">DC47-DC41</f>
        <v>-3564.7232000000076</v>
      </c>
      <c r="DD48" s="21">
        <f t="shared" ref="DD48" si="807">DD47-DD41</f>
        <v>-3564.7232000000076</v>
      </c>
      <c r="DE48" s="21">
        <f t="shared" ref="DE48" si="808">DE47-DE41</f>
        <v>5843.2767999999924</v>
      </c>
      <c r="DF48" s="21">
        <f t="shared" ref="DF48:DG48" si="809">DF47-DF41</f>
        <v>5843.2767999999924</v>
      </c>
      <c r="DG48" s="21">
        <f t="shared" si="809"/>
        <v>10547.276799999992</v>
      </c>
      <c r="DH48" s="21">
        <f t="shared" ref="DH48" si="810">DH47-DH41</f>
        <v>15251.276799999992</v>
      </c>
      <c r="DI48" s="21">
        <f t="shared" ref="DI48" si="811">DI47-DI41</f>
        <v>19955.276799999992</v>
      </c>
      <c r="DJ48" s="21">
        <f t="shared" ref="DJ48" si="812">DJ47-DJ41</f>
        <v>16659.276799999992</v>
      </c>
      <c r="DK48" s="21">
        <f t="shared" ref="DK48" si="813">DK47-DK41</f>
        <v>16659.276799999992</v>
      </c>
      <c r="DL48" s="21">
        <f t="shared" ref="DL48:DM48" si="814">DL47-DL41</f>
        <v>26067.276799999992</v>
      </c>
      <c r="DM48" s="21">
        <f t="shared" si="814"/>
        <v>26067.276799999992</v>
      </c>
      <c r="DN48" s="21">
        <f t="shared" ref="DN48" si="815">DN47-DN41</f>
        <v>30771.276799999992</v>
      </c>
      <c r="DO48" s="21">
        <f t="shared" ref="DO48" si="816">DO47-DO41</f>
        <v>35475.276799999992</v>
      </c>
      <c r="DP48" s="21">
        <f t="shared" ref="DP48" si="817">DP47-DP41</f>
        <v>40179.276799999992</v>
      </c>
      <c r="DQ48" s="21">
        <f t="shared" ref="DQ48" si="818">DQ47-DQ41</f>
        <v>36883.276799999992</v>
      </c>
      <c r="DR48" s="21">
        <f t="shared" ref="DR48:DS48" si="819">DR47-DR41</f>
        <v>36883.276799999992</v>
      </c>
      <c r="DS48" s="21">
        <f t="shared" si="819"/>
        <v>46291.276799999992</v>
      </c>
      <c r="DT48" s="21">
        <f t="shared" ref="DT48" si="820">DT47-DT41</f>
        <v>46291.276799999992</v>
      </c>
      <c r="DU48" s="21">
        <f t="shared" ref="DU48" si="821">DU47-DU41</f>
        <v>50995.276799999992</v>
      </c>
      <c r="DV48" s="21">
        <f t="shared" ref="DV48" si="822">DV47-DV41</f>
        <v>55699.276799999992</v>
      </c>
      <c r="DW48" s="21">
        <f t="shared" ref="DW48" si="823">DW47-DW41</f>
        <v>60403.276799999992</v>
      </c>
      <c r="DX48" s="21">
        <f t="shared" ref="DX48" si="824">DX47-DX41</f>
        <v>57107.276799999992</v>
      </c>
    </row>
    <row r="49" spans="2:22" x14ac:dyDescent="0.2">
      <c r="B49" s="18" t="s">
        <v>36</v>
      </c>
    </row>
    <row r="50" spans="2:22" x14ac:dyDescent="0.2">
      <c r="B50" s="1" t="s">
        <v>15</v>
      </c>
      <c r="D50" s="1">
        <f>D23*D24*D27</f>
        <v>0</v>
      </c>
      <c r="E50" s="1">
        <f t="shared" ref="E50:Q50" si="825">E23*E24*E27</f>
        <v>0</v>
      </c>
      <c r="F50" s="1">
        <f t="shared" si="825"/>
        <v>0</v>
      </c>
      <c r="G50" s="1">
        <f t="shared" si="825"/>
        <v>600</v>
      </c>
      <c r="H50" s="1">
        <f t="shared" si="825"/>
        <v>624</v>
      </c>
      <c r="I50" s="1">
        <f t="shared" si="825"/>
        <v>636</v>
      </c>
      <c r="J50" s="1">
        <f t="shared" si="825"/>
        <v>0</v>
      </c>
      <c r="K50" s="1">
        <f t="shared" si="825"/>
        <v>660</v>
      </c>
      <c r="L50" s="1">
        <f t="shared" si="825"/>
        <v>683.99999999999989</v>
      </c>
      <c r="M50" s="1">
        <f t="shared" si="825"/>
        <v>708</v>
      </c>
      <c r="N50" s="1">
        <f t="shared" si="825"/>
        <v>720</v>
      </c>
      <c r="O50" s="1">
        <f t="shared" si="825"/>
        <v>744</v>
      </c>
      <c r="P50" s="1">
        <f t="shared" si="825"/>
        <v>768</v>
      </c>
      <c r="Q50" s="1">
        <f t="shared" ref="Q50:V50" si="826">Q23*Q24*Q27</f>
        <v>0</v>
      </c>
      <c r="R50" s="1">
        <f t="shared" si="826"/>
        <v>792</v>
      </c>
      <c r="S50" s="1">
        <f t="shared" si="826"/>
        <v>804</v>
      </c>
      <c r="T50" s="1">
        <f t="shared" si="826"/>
        <v>827.99999999999989</v>
      </c>
      <c r="U50" s="1">
        <f t="shared" si="826"/>
        <v>852</v>
      </c>
      <c r="V50" s="1">
        <f t="shared" si="826"/>
        <v>864</v>
      </c>
    </row>
    <row r="51" spans="2:22" x14ac:dyDescent="0.2">
      <c r="B51" s="1" t="s">
        <v>23</v>
      </c>
      <c r="D51" s="1">
        <f>D23*D24*D30</f>
        <v>0</v>
      </c>
      <c r="E51" s="1">
        <f t="shared" ref="E51:Q51" si="827">E23*E24*E30</f>
        <v>0</v>
      </c>
      <c r="F51" s="1">
        <f t="shared" si="827"/>
        <v>0</v>
      </c>
      <c r="G51" s="1">
        <f t="shared" si="827"/>
        <v>0</v>
      </c>
      <c r="H51" s="1">
        <f t="shared" si="827"/>
        <v>0</v>
      </c>
      <c r="I51" s="1">
        <f t="shared" si="827"/>
        <v>0</v>
      </c>
      <c r="J51" s="1">
        <f t="shared" si="827"/>
        <v>0</v>
      </c>
      <c r="K51" s="1">
        <f t="shared" si="827"/>
        <v>0</v>
      </c>
      <c r="L51" s="1">
        <f t="shared" si="827"/>
        <v>0</v>
      </c>
      <c r="M51" s="1">
        <f t="shared" si="827"/>
        <v>0</v>
      </c>
      <c r="N51" s="1">
        <f t="shared" si="827"/>
        <v>600</v>
      </c>
      <c r="O51" s="1">
        <f t="shared" si="827"/>
        <v>624</v>
      </c>
      <c r="P51" s="1">
        <f t="shared" si="827"/>
        <v>636</v>
      </c>
      <c r="Q51" s="1">
        <f t="shared" ref="Q51:V51" si="828">Q23*Q24*Q30</f>
        <v>0</v>
      </c>
      <c r="R51" s="1">
        <f t="shared" si="828"/>
        <v>660</v>
      </c>
      <c r="S51" s="1">
        <f t="shared" si="828"/>
        <v>683.99999999999989</v>
      </c>
      <c r="T51" s="1">
        <f t="shared" si="828"/>
        <v>708</v>
      </c>
      <c r="U51" s="1">
        <f t="shared" si="828"/>
        <v>720</v>
      </c>
      <c r="V51" s="1">
        <f t="shared" si="828"/>
        <v>744</v>
      </c>
    </row>
    <row r="52" spans="2:22" x14ac:dyDescent="0.2">
      <c r="B52" s="1" t="s">
        <v>18</v>
      </c>
      <c r="D52" s="1">
        <f>D23*D24*D33</f>
        <v>0</v>
      </c>
      <c r="E52" s="1">
        <f t="shared" ref="E52:Q52" si="829">E23*E24*E33</f>
        <v>0</v>
      </c>
      <c r="F52" s="1">
        <f t="shared" si="829"/>
        <v>0</v>
      </c>
      <c r="G52" s="1">
        <f t="shared" si="829"/>
        <v>0</v>
      </c>
      <c r="H52" s="1">
        <f t="shared" si="829"/>
        <v>0</v>
      </c>
      <c r="I52" s="1">
        <f t="shared" si="829"/>
        <v>0</v>
      </c>
      <c r="J52" s="1">
        <f t="shared" si="829"/>
        <v>0</v>
      </c>
      <c r="K52" s="1">
        <f t="shared" si="829"/>
        <v>600</v>
      </c>
      <c r="L52" s="1">
        <f t="shared" si="829"/>
        <v>624</v>
      </c>
      <c r="M52" s="1">
        <f t="shared" si="829"/>
        <v>636</v>
      </c>
      <c r="N52" s="1">
        <f t="shared" si="829"/>
        <v>660</v>
      </c>
      <c r="O52" s="1">
        <f t="shared" si="829"/>
        <v>683.99999999999989</v>
      </c>
      <c r="P52" s="1">
        <f t="shared" si="829"/>
        <v>708</v>
      </c>
      <c r="Q52" s="1">
        <f t="shared" ref="Q52:V52" si="830">Q23*Q24*Q33</f>
        <v>0</v>
      </c>
      <c r="R52" s="1">
        <f t="shared" si="830"/>
        <v>720</v>
      </c>
      <c r="S52" s="1">
        <f t="shared" si="830"/>
        <v>744</v>
      </c>
      <c r="T52" s="1">
        <f t="shared" si="830"/>
        <v>768</v>
      </c>
      <c r="U52" s="1">
        <f t="shared" si="830"/>
        <v>792</v>
      </c>
      <c r="V52" s="1">
        <f t="shared" si="830"/>
        <v>804</v>
      </c>
    </row>
    <row r="53" spans="2:22" x14ac:dyDescent="0.2">
      <c r="B53" s="1" t="s">
        <v>19</v>
      </c>
      <c r="D53" s="1">
        <f>D23*D24*D36</f>
        <v>0</v>
      </c>
      <c r="E53" s="1">
        <f t="shared" ref="E53:Q53" si="831">E23*E24*E36</f>
        <v>0</v>
      </c>
      <c r="F53" s="1">
        <f t="shared" si="831"/>
        <v>0</v>
      </c>
      <c r="G53" s="1">
        <f t="shared" si="831"/>
        <v>0</v>
      </c>
      <c r="H53" s="1">
        <f t="shared" si="831"/>
        <v>0</v>
      </c>
      <c r="I53" s="1">
        <f t="shared" si="831"/>
        <v>0</v>
      </c>
      <c r="J53" s="1">
        <f t="shared" si="831"/>
        <v>0</v>
      </c>
      <c r="K53" s="1">
        <f t="shared" si="831"/>
        <v>0</v>
      </c>
      <c r="L53" s="1">
        <f t="shared" si="831"/>
        <v>0</v>
      </c>
      <c r="M53" s="1">
        <f t="shared" si="831"/>
        <v>0</v>
      </c>
      <c r="N53" s="1">
        <f t="shared" si="831"/>
        <v>0</v>
      </c>
      <c r="O53" s="1">
        <f t="shared" si="831"/>
        <v>0</v>
      </c>
      <c r="P53" s="1">
        <f t="shared" si="831"/>
        <v>0</v>
      </c>
      <c r="Q53" s="1">
        <f t="shared" ref="Q53:V53" si="832">Q23*Q24*Q36</f>
        <v>0</v>
      </c>
      <c r="R53" s="1">
        <f t="shared" si="832"/>
        <v>600</v>
      </c>
      <c r="S53" s="1">
        <f t="shared" si="832"/>
        <v>624</v>
      </c>
      <c r="T53" s="1">
        <f t="shared" si="832"/>
        <v>636</v>
      </c>
      <c r="U53" s="1">
        <f t="shared" si="832"/>
        <v>660</v>
      </c>
      <c r="V53" s="1">
        <f t="shared" si="832"/>
        <v>683.99999999999989</v>
      </c>
    </row>
    <row r="54" spans="2:22" x14ac:dyDescent="0.2">
      <c r="B54" s="27" t="s">
        <v>38</v>
      </c>
      <c r="D54" s="1">
        <f>SUM(D50:D53)</f>
        <v>0</v>
      </c>
      <c r="E54" s="1">
        <f t="shared" ref="E54:Q54" si="833">SUM(E50:E53)</f>
        <v>0</v>
      </c>
      <c r="F54" s="1">
        <f t="shared" si="833"/>
        <v>0</v>
      </c>
      <c r="G54" s="1">
        <f t="shared" si="833"/>
        <v>600</v>
      </c>
      <c r="H54" s="1">
        <f t="shared" si="833"/>
        <v>624</v>
      </c>
      <c r="I54" s="1">
        <f t="shared" si="833"/>
        <v>636</v>
      </c>
      <c r="J54" s="1">
        <f t="shared" si="833"/>
        <v>0</v>
      </c>
      <c r="K54" s="1">
        <f t="shared" si="833"/>
        <v>1260</v>
      </c>
      <c r="L54" s="1">
        <f t="shared" si="833"/>
        <v>1308</v>
      </c>
      <c r="M54" s="1">
        <f t="shared" si="833"/>
        <v>1344</v>
      </c>
      <c r="N54" s="1">
        <f t="shared" si="833"/>
        <v>1980</v>
      </c>
      <c r="O54" s="1">
        <f t="shared" si="833"/>
        <v>2052</v>
      </c>
      <c r="P54" s="1">
        <f t="shared" si="833"/>
        <v>2112</v>
      </c>
      <c r="Q54" s="1">
        <f t="shared" ref="Q54" si="834">SUM(Q50:Q53)</f>
        <v>0</v>
      </c>
      <c r="R54" s="1">
        <f t="shared" ref="R54" si="835">SUM(R50:R53)</f>
        <v>2772</v>
      </c>
      <c r="S54" s="1">
        <f t="shared" ref="S54" si="836">SUM(S50:S53)</f>
        <v>2856</v>
      </c>
      <c r="T54" s="1">
        <f t="shared" ref="T54" si="837">SUM(T50:T53)</f>
        <v>2940</v>
      </c>
      <c r="U54" s="1">
        <f t="shared" ref="U54" si="838">SUM(U50:U53)</f>
        <v>3024</v>
      </c>
      <c r="V54" s="1">
        <f t="shared" ref="V54" si="839">SUM(V50:V53)</f>
        <v>3096</v>
      </c>
    </row>
    <row r="55" spans="2:22" x14ac:dyDescent="0.2">
      <c r="B55" s="18" t="s">
        <v>37</v>
      </c>
    </row>
    <row r="56" spans="2:22" x14ac:dyDescent="0.2">
      <c r="B56" s="1" t="s">
        <v>15</v>
      </c>
    </row>
    <row r="57" spans="2:22" x14ac:dyDescent="0.2">
      <c r="B57" s="1" t="s">
        <v>23</v>
      </c>
    </row>
    <row r="58" spans="2:22" x14ac:dyDescent="0.2">
      <c r="B58" s="1" t="s">
        <v>18</v>
      </c>
    </row>
    <row r="59" spans="2:22" x14ac:dyDescent="0.2">
      <c r="B59" s="1" t="s">
        <v>19</v>
      </c>
    </row>
    <row r="60" spans="2:22" x14ac:dyDescent="0.2">
      <c r="B60" s="27" t="s">
        <v>39</v>
      </c>
      <c r="D60" s="1">
        <f>SUM(D56:D59)</f>
        <v>0</v>
      </c>
    </row>
  </sheetData>
  <mergeCells count="2">
    <mergeCell ref="B2:B3"/>
    <mergeCell ref="B21:B2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Zheng</dc:creator>
  <cp:lastModifiedBy>DB113025</cp:lastModifiedBy>
  <dcterms:created xsi:type="dcterms:W3CDTF">2026-01-31T02:04:08Z</dcterms:created>
  <dcterms:modified xsi:type="dcterms:W3CDTF">2026-02-19T11:03:08Z</dcterms:modified>
</cp:coreProperties>
</file>